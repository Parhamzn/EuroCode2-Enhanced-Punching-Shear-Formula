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 - ETH Zurich\Desktop\ML and DL\Project\"/>
    </mc:Choice>
  </mc:AlternateContent>
  <xr:revisionPtr revIDLastSave="0" documentId="13_ncr:1_{3E9995DC-AA54-4E18-99E6-15C064950A76}" xr6:coauthVersionLast="47" xr6:coauthVersionMax="47" xr10:uidLastSave="{00000000-0000-0000-0000-000000000000}"/>
  <bookViews>
    <workbookView xWindow="-110" yWindow="-110" windowWidth="19420" windowHeight="12420" xr2:uid="{B0E07AEC-A2F0-419B-A1A0-6D29ACCE95A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2" i="1"/>
</calcChain>
</file>

<file path=xl/sharedStrings.xml><?xml version="1.0" encoding="utf-8"?>
<sst xmlns="http://schemas.openxmlformats.org/spreadsheetml/2006/main" count="2296" uniqueCount="333">
  <si>
    <t>A</t>
  </si>
  <si>
    <t>B</t>
  </si>
  <si>
    <t>Nr</t>
  </si>
  <si>
    <t>Bez Vers.Ber</t>
  </si>
  <si>
    <t>Forscher</t>
  </si>
  <si>
    <t>Platte</t>
  </si>
  <si>
    <t>Last</t>
  </si>
  <si>
    <t>Lasteinleitung</t>
  </si>
  <si>
    <t>h</t>
  </si>
  <si>
    <t>d</t>
  </si>
  <si>
    <t>Stütze</t>
  </si>
  <si>
    <t>c1</t>
  </si>
  <si>
    <t>c2</t>
  </si>
  <si>
    <t>rho_l</t>
  </si>
  <si>
    <t>fcm,cyl</t>
  </si>
  <si>
    <t>dg</t>
  </si>
  <si>
    <t>fym</t>
  </si>
  <si>
    <t>Esm</t>
  </si>
  <si>
    <t>V_test</t>
  </si>
  <si>
    <t>HSC 0</t>
  </si>
  <si>
    <t>Hallgren</t>
  </si>
  <si>
    <t>k</t>
  </si>
  <si>
    <t>-</t>
  </si>
  <si>
    <t>HSC 1</t>
  </si>
  <si>
    <t>HSC 2</t>
  </si>
  <si>
    <t>HSC 4</t>
  </si>
  <si>
    <t>HSC 6</t>
  </si>
  <si>
    <t>N/HSC 8</t>
  </si>
  <si>
    <t>HSC 9</t>
  </si>
  <si>
    <t>ND65-1-1</t>
  </si>
  <si>
    <t>Tomaszewicz</t>
  </si>
  <si>
    <t>qs</t>
  </si>
  <si>
    <t>q</t>
  </si>
  <si>
    <t>ND65-2-1</t>
  </si>
  <si>
    <t>ND95-1-1</t>
  </si>
  <si>
    <t>ND95-1-3</t>
  </si>
  <si>
    <t>ND95-2-1</t>
  </si>
  <si>
    <t>ND95-2-1D</t>
  </si>
  <si>
    <t>ND95-2-3</t>
  </si>
  <si>
    <t>ND95-2-3D</t>
  </si>
  <si>
    <t>ND95-2-3D+</t>
  </si>
  <si>
    <t>ND95-3-1</t>
  </si>
  <si>
    <t>ND115-1-1</t>
  </si>
  <si>
    <t>ND115-2-1</t>
  </si>
  <si>
    <t>ND115-2-3</t>
  </si>
  <si>
    <t>Ramdane</t>
  </si>
  <si>
    <t>HS1</t>
  </si>
  <si>
    <t>Marzouk &amp; Hussein</t>
  </si>
  <si>
    <t>qa</t>
  </si>
  <si>
    <t>HS2</t>
  </si>
  <si>
    <t>HS3</t>
  </si>
  <si>
    <t>HS4</t>
  </si>
  <si>
    <t>HS7</t>
  </si>
  <si>
    <t>HS8</t>
  </si>
  <si>
    <t>HS9</t>
  </si>
  <si>
    <t>HS10</t>
  </si>
  <si>
    <t>HS14</t>
  </si>
  <si>
    <t>HS15</t>
  </si>
  <si>
    <t>NS1</t>
  </si>
  <si>
    <t>F2</t>
  </si>
  <si>
    <t>Lovrovich &amp; McLean</t>
  </si>
  <si>
    <t>F3</t>
  </si>
  <si>
    <t>F4</t>
  </si>
  <si>
    <t>F5</t>
  </si>
  <si>
    <t>S2.1</t>
  </si>
  <si>
    <t>Tolf</t>
  </si>
  <si>
    <t>S2.2</t>
  </si>
  <si>
    <t>S2.3</t>
  </si>
  <si>
    <t>S2.4</t>
  </si>
  <si>
    <t>S1.1</t>
  </si>
  <si>
    <t>S1.2</t>
  </si>
  <si>
    <t>S1.3</t>
  </si>
  <si>
    <t>S1.4</t>
  </si>
  <si>
    <t>I/2</t>
  </si>
  <si>
    <t>Regan</t>
  </si>
  <si>
    <t>I/4</t>
  </si>
  <si>
    <t>I/6</t>
  </si>
  <si>
    <t>I/7</t>
  </si>
  <si>
    <t>II/1</t>
  </si>
  <si>
    <t>II/2</t>
  </si>
  <si>
    <t>II/3</t>
  </si>
  <si>
    <t>II/4</t>
  </si>
  <si>
    <t>II/5</t>
  </si>
  <si>
    <t>II/6</t>
  </si>
  <si>
    <t>III/1</t>
  </si>
  <si>
    <t>III/2</t>
  </si>
  <si>
    <t>III/3</t>
  </si>
  <si>
    <t>III/4</t>
  </si>
  <si>
    <t>III/5</t>
  </si>
  <si>
    <t>III/6</t>
  </si>
  <si>
    <t>V/1</t>
  </si>
  <si>
    <t>V/2</t>
  </si>
  <si>
    <t>V/3</t>
  </si>
  <si>
    <t>V/4</t>
  </si>
  <si>
    <t>V/5</t>
  </si>
  <si>
    <t>S-1</t>
  </si>
  <si>
    <t>Swamy &amp; Ali</t>
  </si>
  <si>
    <t>P2</t>
  </si>
  <si>
    <t>Marti</t>
  </si>
  <si>
    <t>o</t>
  </si>
  <si>
    <t>P5</t>
  </si>
  <si>
    <t>Pralong</t>
  </si>
  <si>
    <t>Schaefers</t>
  </si>
  <si>
    <t>DA-6</t>
  </si>
  <si>
    <t>Ladner et al</t>
  </si>
  <si>
    <t>DA-7</t>
  </si>
  <si>
    <t>DA-10</t>
  </si>
  <si>
    <t>DA-11</t>
  </si>
  <si>
    <t>P1</t>
  </si>
  <si>
    <t>Ladner</t>
  </si>
  <si>
    <t>M1</t>
  </si>
  <si>
    <t>AN-1</t>
  </si>
  <si>
    <t>Corley &amp; Hawkins</t>
  </si>
  <si>
    <t>BN-1</t>
  </si>
  <si>
    <t>P1-S1</t>
  </si>
  <si>
    <t>Manterola</t>
  </si>
  <si>
    <t>P1-S3</t>
  </si>
  <si>
    <t>P1-S2</t>
  </si>
  <si>
    <t>P2-S2</t>
  </si>
  <si>
    <t>P2-S3</t>
  </si>
  <si>
    <t>S1-60</t>
  </si>
  <si>
    <t>Moe</t>
  </si>
  <si>
    <t>S1-70</t>
  </si>
  <si>
    <t>S5-60</t>
  </si>
  <si>
    <t>S5-70</t>
  </si>
  <si>
    <t>R1</t>
  </si>
  <si>
    <t>r</t>
  </si>
  <si>
    <t>R2</t>
  </si>
  <si>
    <t>H1</t>
  </si>
  <si>
    <t>M1A</t>
  </si>
  <si>
    <t>IA15A-5</t>
  </si>
  <si>
    <t>Kinnunen &amp; Nylander</t>
  </si>
  <si>
    <t>IA15A-6</t>
  </si>
  <si>
    <t>IA15B-9</t>
  </si>
  <si>
    <t>IA15B-10</t>
  </si>
  <si>
    <t>IA15C-11</t>
  </si>
  <si>
    <t>IA15C-12</t>
  </si>
  <si>
    <t>IA30A-24</t>
  </si>
  <si>
    <t>IA30A-25</t>
  </si>
  <si>
    <t>IA30B-28</t>
  </si>
  <si>
    <t>IA30C-30</t>
  </si>
  <si>
    <t>IA30C-31</t>
  </si>
  <si>
    <t>IA30D-32</t>
  </si>
  <si>
    <t>IA30D-33</t>
  </si>
  <si>
    <t>IA30E-34</t>
  </si>
  <si>
    <t>IA30E-35</t>
  </si>
  <si>
    <t>A-1A</t>
  </si>
  <si>
    <t>Elstner &amp; Hognestad</t>
  </si>
  <si>
    <t>A-1B</t>
  </si>
  <si>
    <t>A-1C</t>
  </si>
  <si>
    <t>A-1D</t>
  </si>
  <si>
    <t>A-1E</t>
  </si>
  <si>
    <t>A-2A</t>
  </si>
  <si>
    <t>A-2B</t>
  </si>
  <si>
    <t>A-2C</t>
  </si>
  <si>
    <t>A-7B</t>
  </si>
  <si>
    <t>A-3A</t>
  </si>
  <si>
    <t>A-3B</t>
  </si>
  <si>
    <t>A-3C</t>
  </si>
  <si>
    <t>A-3D</t>
  </si>
  <si>
    <t>A-4</t>
  </si>
  <si>
    <t>A-5</t>
  </si>
  <si>
    <t>A-6</t>
  </si>
  <si>
    <t>B-1</t>
  </si>
  <si>
    <t>B-4</t>
  </si>
  <si>
    <t>B-9</t>
  </si>
  <si>
    <t>B-11</t>
  </si>
  <si>
    <t>B-14</t>
  </si>
  <si>
    <t>A-7</t>
  </si>
  <si>
    <t>A-8</t>
  </si>
  <si>
    <t>A-7A</t>
  </si>
  <si>
    <t>P-I</t>
  </si>
  <si>
    <t>Keefe</t>
  </si>
  <si>
    <t>P-II</t>
  </si>
  <si>
    <t>Broms</t>
  </si>
  <si>
    <t>T1</t>
  </si>
  <si>
    <t>Yamada</t>
  </si>
  <si>
    <t>K1</t>
  </si>
  <si>
    <t>Chana</t>
  </si>
  <si>
    <t>HS17</t>
  </si>
  <si>
    <t>Marzouk</t>
  </si>
  <si>
    <t>Beutel</t>
  </si>
  <si>
    <t>2F22</t>
  </si>
  <si>
    <t>Lee</t>
  </si>
  <si>
    <t>3F22</t>
  </si>
  <si>
    <t>Oliveira</t>
  </si>
  <si>
    <t>S2075-1</t>
  </si>
  <si>
    <t>Criswell</t>
  </si>
  <si>
    <t>S2075-2</t>
  </si>
  <si>
    <t>S2150-1</t>
  </si>
  <si>
    <t>S2150-2</t>
  </si>
  <si>
    <t>L7</t>
  </si>
  <si>
    <t>Narasimhan</t>
  </si>
  <si>
    <t>L9</t>
  </si>
  <si>
    <t>1A</t>
  </si>
  <si>
    <t>Gomes</t>
  </si>
  <si>
    <t>AB 1</t>
  </si>
  <si>
    <t>Mokhtar</t>
  </si>
  <si>
    <t>MV1</t>
  </si>
  <si>
    <t>Van der Voet</t>
  </si>
  <si>
    <t>PSSA</t>
  </si>
  <si>
    <t>Pilakoutas</t>
  </si>
  <si>
    <t>S1</t>
  </si>
  <si>
    <t>Birkle</t>
  </si>
  <si>
    <t>S7</t>
  </si>
  <si>
    <t>S10</t>
  </si>
  <si>
    <t>Günther</t>
  </si>
  <si>
    <t>PL1</t>
  </si>
  <si>
    <t>Lips</t>
  </si>
  <si>
    <t>PV1</t>
  </si>
  <si>
    <t>PL3</t>
  </si>
  <si>
    <t>PL4</t>
  </si>
  <si>
    <t>PL5</t>
  </si>
  <si>
    <t>V1</t>
  </si>
  <si>
    <t>SP1</t>
  </si>
  <si>
    <t>Etter/Heinzmann</t>
  </si>
  <si>
    <t>NR1E0F0</t>
  </si>
  <si>
    <t>Ozden et al</t>
  </si>
  <si>
    <t>NR2E0F0</t>
  </si>
  <si>
    <t>HR1E0F0</t>
  </si>
  <si>
    <t>HR1E0F0r</t>
  </si>
  <si>
    <t>HR2E0F0</t>
  </si>
  <si>
    <t>HR2E0F0r</t>
  </si>
  <si>
    <t>PG-1</t>
  </si>
  <si>
    <t>Guandalini</t>
  </si>
  <si>
    <t>PG-2b</t>
  </si>
  <si>
    <t>PG-3</t>
  </si>
  <si>
    <t>PG-4</t>
  </si>
  <si>
    <t>PG-5</t>
  </si>
  <si>
    <t>PG-6</t>
  </si>
  <si>
    <t>PG-7</t>
  </si>
  <si>
    <t>PG-8</t>
  </si>
  <si>
    <t>PG-9</t>
  </si>
  <si>
    <t>PG-10</t>
  </si>
  <si>
    <t>Ti-1A</t>
  </si>
  <si>
    <t>Timm</t>
  </si>
  <si>
    <t>Ti-2A</t>
  </si>
  <si>
    <t>Ti-3A</t>
  </si>
  <si>
    <t>L1c</t>
  </si>
  <si>
    <t>Oliveira et al</t>
  </si>
  <si>
    <t>L2c</t>
  </si>
  <si>
    <t>L3c</t>
  </si>
  <si>
    <t>L4c</t>
  </si>
  <si>
    <t>L5c</t>
  </si>
  <si>
    <t>SR-1</t>
  </si>
  <si>
    <t>P100</t>
  </si>
  <si>
    <t>Li</t>
  </si>
  <si>
    <t>P150</t>
  </si>
  <si>
    <t>P200</t>
  </si>
  <si>
    <t>P300</t>
  </si>
  <si>
    <t>P400</t>
  </si>
  <si>
    <t>P500</t>
  </si>
  <si>
    <t>NU</t>
  </si>
  <si>
    <t>McHarg et al</t>
  </si>
  <si>
    <t>S1-U</t>
  </si>
  <si>
    <t>Ghannoum</t>
  </si>
  <si>
    <t>S2-U</t>
  </si>
  <si>
    <t>S3-U</t>
  </si>
  <si>
    <t>L1</t>
  </si>
  <si>
    <t>Sistonen et al</t>
  </si>
  <si>
    <t>L2</t>
  </si>
  <si>
    <t>L3</t>
  </si>
  <si>
    <t>L4</t>
  </si>
  <si>
    <t>L5</t>
  </si>
  <si>
    <t>L6</t>
  </si>
  <si>
    <t>L8</t>
  </si>
  <si>
    <t>L10</t>
  </si>
  <si>
    <t>Pm 1/1-0.8</t>
  </si>
  <si>
    <t>Urban</t>
  </si>
  <si>
    <t>P 1/1-0.8</t>
  </si>
  <si>
    <t>Pd 1/1-0.8</t>
  </si>
  <si>
    <t>P 1/1.5-0.8</t>
  </si>
  <si>
    <t>P 1/2-0.8</t>
  </si>
  <si>
    <t>P 1/3-0.8</t>
  </si>
  <si>
    <t>P 1/4-0.8</t>
  </si>
  <si>
    <t>P 1/4-0.8bis</t>
  </si>
  <si>
    <t>Pm 1/1-1.5</t>
  </si>
  <si>
    <t>Pd 1/1-1.5</t>
  </si>
  <si>
    <t>P 1/2-1.5</t>
  </si>
  <si>
    <t>P 1/3-1.5</t>
  </si>
  <si>
    <t>P 1/4-1.5</t>
  </si>
  <si>
    <t>HS12</t>
  </si>
  <si>
    <t>HS13</t>
  </si>
  <si>
    <t>Gardner</t>
  </si>
  <si>
    <t>Rankin &amp; Long</t>
  </si>
  <si>
    <t>2A</t>
  </si>
  <si>
    <t>3A</t>
  </si>
  <si>
    <t>4A</t>
  </si>
  <si>
    <t>2B</t>
  </si>
  <si>
    <t>3B</t>
  </si>
  <si>
    <t>4B</t>
  </si>
  <si>
    <t>2C</t>
  </si>
  <si>
    <t>3C</t>
  </si>
  <si>
    <t>4C</t>
  </si>
  <si>
    <t>S4075-1</t>
  </si>
  <si>
    <t>S4075-2</t>
  </si>
  <si>
    <t>S4150-1</t>
  </si>
  <si>
    <t>S4150-2</t>
  </si>
  <si>
    <t>M-1</t>
  </si>
  <si>
    <t>Long &amp; Masterson</t>
  </si>
  <si>
    <t>B1</t>
  </si>
  <si>
    <t>Nylander  Sundquist</t>
  </si>
  <si>
    <t>B2</t>
  </si>
  <si>
    <t>C1</t>
  </si>
  <si>
    <t>C2</t>
  </si>
  <si>
    <t>A S-000-0-0-2</t>
  </si>
  <si>
    <t>Roll et al</t>
  </si>
  <si>
    <t>A S-000-0-0-3</t>
  </si>
  <si>
    <t>A S-000-0-0-4</t>
  </si>
  <si>
    <t>A S-000-0-0-5</t>
  </si>
  <si>
    <t>B S-000-0-0-1</t>
  </si>
  <si>
    <t>B S-000-0-0-2</t>
  </si>
  <si>
    <t>H0 (No 2)</t>
  </si>
  <si>
    <t>H0 (No 3)</t>
  </si>
  <si>
    <t>JN-0-2.2</t>
  </si>
  <si>
    <t>Mowrer &amp; Vanderbilt</t>
  </si>
  <si>
    <t>P2-S1</t>
  </si>
  <si>
    <t>P3-S1</t>
  </si>
  <si>
    <t>P1-S4</t>
  </si>
  <si>
    <t>2S2</t>
  </si>
  <si>
    <t xml:space="preserve">Taylor and Hayes </t>
  </si>
  <si>
    <t>2S3</t>
  </si>
  <si>
    <t>2S4</t>
  </si>
  <si>
    <t>2S5</t>
  </si>
  <si>
    <t>2S6</t>
  </si>
  <si>
    <t>3S2</t>
  </si>
  <si>
    <t>3S4</t>
  </si>
  <si>
    <t>3S6</t>
  </si>
  <si>
    <t>Rosenthal</t>
  </si>
  <si>
    <t>Forssell &amp; Holmberg</t>
  </si>
  <si>
    <t>Graf</t>
  </si>
  <si>
    <t>PG-11</t>
  </si>
  <si>
    <t>Fläche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</si>
</sst>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65" fontId="0" fillId="0" borderId="0" xfId="0" applyNumberFormat="1" applyFill="1"/>
    <xf numFmtId="1" fontId="0" fillId="0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4116-68CF-49EF-9E17-0C75CB042230}">
  <dimension ref="A1:AN337"/>
  <sheetViews>
    <sheetView tabSelected="1" zoomScaleNormal="100" workbookViewId="0">
      <selection activeCell="L2" sqref="L2:L337"/>
    </sheetView>
  </sheetViews>
  <sheetFormatPr defaultColWidth="10.90625" defaultRowHeight="14.5" x14ac:dyDescent="0.35"/>
  <cols>
    <col min="1" max="1" width="4" bestFit="1" customWidth="1"/>
    <col min="2" max="2" width="11.1796875" bestFit="1" customWidth="1"/>
    <col min="3" max="3" width="16.6328125" bestFit="1" customWidth="1"/>
    <col min="4" max="4" width="5.81640625" bestFit="1" customWidth="1"/>
    <col min="5" max="5" width="4.26953125" bestFit="1" customWidth="1"/>
    <col min="6" max="6" width="7.26953125" customWidth="1"/>
    <col min="9" max="9" width="6" bestFit="1" customWidth="1"/>
    <col min="10" max="11" width="5.453125" bestFit="1" customWidth="1"/>
    <col min="12" max="12" width="10.08984375" customWidth="1"/>
    <col min="13" max="13" width="5.1796875" bestFit="1" customWidth="1"/>
    <col min="14" max="14" width="8.54296875" bestFit="1" customWidth="1"/>
    <col min="15" max="15" width="5.453125" bestFit="1" customWidth="1"/>
    <col min="16" max="16" width="8.54296875" bestFit="1" customWidth="1"/>
    <col min="17" max="17" width="9" bestFit="1" customWidth="1"/>
    <col min="18" max="18" width="6.1796875" bestFit="1" customWidth="1"/>
    <col min="19" max="19" width="6.1796875" style="2" customWidth="1"/>
    <col min="20" max="20" width="8.1796875" style="2" bestFit="1" customWidth="1"/>
    <col min="21" max="21" width="8.54296875" style="2" bestFit="1" customWidth="1"/>
    <col min="22" max="22" width="6.26953125" style="2" bestFit="1" customWidth="1"/>
    <col min="23" max="23" width="5.6328125" style="2" bestFit="1" customWidth="1"/>
    <col min="24" max="24" width="5.453125" style="2" bestFit="1" customWidth="1"/>
    <col min="25" max="25" width="10.08984375" style="2" bestFit="1" customWidth="1"/>
    <col min="26" max="26" width="10.54296875" style="2" bestFit="1" customWidth="1"/>
    <col min="27" max="27" width="9.26953125" style="2" bestFit="1" customWidth="1"/>
    <col min="28" max="28" width="9.26953125" style="2" customWidth="1"/>
    <col min="29" max="40" width="10.6328125" style="2"/>
  </cols>
  <sheetData>
    <row r="1" spans="1:36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332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36" x14ac:dyDescent="0.35">
      <c r="A2">
        <v>1</v>
      </c>
      <c r="B2" t="s">
        <v>19</v>
      </c>
      <c r="C2" t="s">
        <v>20</v>
      </c>
      <c r="D2" t="s">
        <v>21</v>
      </c>
      <c r="E2" t="s">
        <v>21</v>
      </c>
      <c r="F2" s="1">
        <v>2.4</v>
      </c>
      <c r="G2">
        <v>240</v>
      </c>
      <c r="H2">
        <v>200</v>
      </c>
      <c r="I2" t="s">
        <v>21</v>
      </c>
      <c r="J2">
        <v>250</v>
      </c>
      <c r="K2" t="s">
        <v>22</v>
      </c>
      <c r="L2">
        <f>IF(I2="k",J2^2*PI()/4,IF(I2="q",J2^2,J2*K2))</f>
        <v>49087.385212340516</v>
      </c>
      <c r="M2">
        <v>0.8</v>
      </c>
      <c r="N2">
        <v>89.1</v>
      </c>
      <c r="O2">
        <v>18</v>
      </c>
      <c r="P2">
        <v>643</v>
      </c>
      <c r="Q2">
        <v>195</v>
      </c>
      <c r="R2">
        <v>0.96499999999999997</v>
      </c>
      <c r="T2" s="4"/>
      <c r="U2" s="3"/>
      <c r="V2" s="3"/>
      <c r="X2" s="5"/>
      <c r="Y2" s="6"/>
      <c r="Z2" s="6"/>
      <c r="AA2" s="3"/>
      <c r="AB2" s="3"/>
      <c r="AE2" s="3"/>
      <c r="AI2" s="3"/>
      <c r="AJ2" s="3"/>
    </row>
    <row r="3" spans="1:36" x14ac:dyDescent="0.35">
      <c r="A3">
        <v>2</v>
      </c>
      <c r="B3" t="s">
        <v>23</v>
      </c>
      <c r="C3" t="s">
        <v>20</v>
      </c>
      <c r="D3" t="s">
        <v>21</v>
      </c>
      <c r="E3" t="s">
        <v>21</v>
      </c>
      <c r="F3" s="1">
        <v>2.4</v>
      </c>
      <c r="G3">
        <v>245</v>
      </c>
      <c r="H3">
        <v>200</v>
      </c>
      <c r="I3" t="s">
        <v>21</v>
      </c>
      <c r="J3">
        <v>250</v>
      </c>
      <c r="K3" t="s">
        <v>22</v>
      </c>
      <c r="L3">
        <f t="shared" ref="L3:L66" si="0">IF(I3="k",J3^2*PI()/4,IF(I3="q",J3^2,J3*K3))</f>
        <v>49087.385212340516</v>
      </c>
      <c r="M3">
        <v>0.8</v>
      </c>
      <c r="N3">
        <v>91.3</v>
      </c>
      <c r="O3">
        <v>18</v>
      </c>
      <c r="P3">
        <v>627</v>
      </c>
      <c r="Q3">
        <v>210</v>
      </c>
      <c r="R3">
        <v>1.0209999999999999</v>
      </c>
      <c r="T3" s="4"/>
      <c r="U3" s="3"/>
      <c r="V3" s="3"/>
      <c r="X3" s="5"/>
      <c r="Y3" s="6"/>
      <c r="Z3" s="6"/>
      <c r="AA3" s="3"/>
      <c r="AB3" s="3"/>
      <c r="AE3" s="3"/>
    </row>
    <row r="4" spans="1:36" x14ac:dyDescent="0.35">
      <c r="A4">
        <v>3</v>
      </c>
      <c r="B4" t="s">
        <v>24</v>
      </c>
      <c r="C4" t="s">
        <v>20</v>
      </c>
      <c r="D4" t="s">
        <v>21</v>
      </c>
      <c r="E4" t="s">
        <v>21</v>
      </c>
      <c r="F4" s="1">
        <v>2.4</v>
      </c>
      <c r="G4">
        <v>240</v>
      </c>
      <c r="H4">
        <v>194</v>
      </c>
      <c r="I4" t="s">
        <v>21</v>
      </c>
      <c r="J4">
        <v>250</v>
      </c>
      <c r="K4" t="s">
        <v>22</v>
      </c>
      <c r="L4">
        <f t="shared" si="0"/>
        <v>49087.385212340516</v>
      </c>
      <c r="M4">
        <v>0.82</v>
      </c>
      <c r="N4">
        <v>85.7</v>
      </c>
      <c r="O4">
        <v>18</v>
      </c>
      <c r="P4">
        <v>620</v>
      </c>
      <c r="Q4">
        <v>231</v>
      </c>
      <c r="R4">
        <v>0.88900000000000001</v>
      </c>
      <c r="T4" s="4"/>
      <c r="U4" s="3"/>
      <c r="V4" s="3"/>
      <c r="X4" s="5"/>
      <c r="Y4" s="6"/>
      <c r="Z4" s="6"/>
      <c r="AA4" s="3"/>
      <c r="AB4" s="3"/>
      <c r="AE4" s="3"/>
    </row>
    <row r="5" spans="1:36" x14ac:dyDescent="0.35">
      <c r="A5">
        <v>4</v>
      </c>
      <c r="B5" t="s">
        <v>25</v>
      </c>
      <c r="C5" t="s">
        <v>20</v>
      </c>
      <c r="D5" t="s">
        <v>21</v>
      </c>
      <c r="E5" t="s">
        <v>21</v>
      </c>
      <c r="F5" s="1">
        <v>2.4</v>
      </c>
      <c r="G5">
        <v>240</v>
      </c>
      <c r="H5">
        <v>200</v>
      </c>
      <c r="I5" t="s">
        <v>21</v>
      </c>
      <c r="J5">
        <v>250</v>
      </c>
      <c r="K5" t="s">
        <v>22</v>
      </c>
      <c r="L5">
        <f t="shared" si="0"/>
        <v>49087.385212340516</v>
      </c>
      <c r="M5">
        <v>1.19</v>
      </c>
      <c r="N5">
        <v>91.6</v>
      </c>
      <c r="O5">
        <v>18</v>
      </c>
      <c r="P5">
        <v>596</v>
      </c>
      <c r="Q5">
        <v>195</v>
      </c>
      <c r="R5">
        <v>1.0409999999999999</v>
      </c>
      <c r="T5" s="4"/>
      <c r="U5" s="3"/>
      <c r="V5" s="3"/>
      <c r="X5" s="5"/>
      <c r="Y5" s="6"/>
      <c r="Z5" s="6"/>
      <c r="AA5" s="3"/>
      <c r="AB5" s="3"/>
      <c r="AE5" s="3"/>
    </row>
    <row r="6" spans="1:36" x14ac:dyDescent="0.35">
      <c r="A6">
        <v>5</v>
      </c>
      <c r="B6" t="s">
        <v>26</v>
      </c>
      <c r="C6" t="s">
        <v>20</v>
      </c>
      <c r="D6" t="s">
        <v>21</v>
      </c>
      <c r="E6" t="s">
        <v>21</v>
      </c>
      <c r="F6" s="1">
        <v>2.4</v>
      </c>
      <c r="G6">
        <v>239</v>
      </c>
      <c r="H6">
        <v>201</v>
      </c>
      <c r="I6" t="s">
        <v>21</v>
      </c>
      <c r="J6">
        <v>250</v>
      </c>
      <c r="K6" t="s">
        <v>22</v>
      </c>
      <c r="L6">
        <f t="shared" si="0"/>
        <v>49087.385212340516</v>
      </c>
      <c r="M6">
        <v>0.6</v>
      </c>
      <c r="N6">
        <v>108.8</v>
      </c>
      <c r="O6">
        <v>18</v>
      </c>
      <c r="P6">
        <v>633</v>
      </c>
      <c r="Q6">
        <v>210</v>
      </c>
      <c r="R6">
        <v>0.96</v>
      </c>
      <c r="T6" s="4"/>
      <c r="U6" s="3"/>
      <c r="V6" s="3"/>
      <c r="X6" s="5"/>
      <c r="Y6" s="6"/>
      <c r="Z6" s="6"/>
      <c r="AA6" s="3"/>
      <c r="AB6" s="3"/>
      <c r="AE6" s="3"/>
    </row>
    <row r="7" spans="1:36" x14ac:dyDescent="0.35">
      <c r="A7">
        <v>6</v>
      </c>
      <c r="B7" t="s">
        <v>27</v>
      </c>
      <c r="C7" t="s">
        <v>20</v>
      </c>
      <c r="D7" t="s">
        <v>21</v>
      </c>
      <c r="E7" t="s">
        <v>21</v>
      </c>
      <c r="F7" s="1">
        <v>2.4</v>
      </c>
      <c r="G7">
        <v>242</v>
      </c>
      <c r="H7">
        <v>198</v>
      </c>
      <c r="I7" t="s">
        <v>21</v>
      </c>
      <c r="J7">
        <v>250</v>
      </c>
      <c r="K7" t="s">
        <v>22</v>
      </c>
      <c r="L7">
        <f t="shared" si="0"/>
        <v>49087.385212340516</v>
      </c>
      <c r="M7">
        <v>0.8</v>
      </c>
      <c r="N7">
        <v>94.9</v>
      </c>
      <c r="O7">
        <v>18</v>
      </c>
      <c r="P7">
        <v>631</v>
      </c>
      <c r="Q7">
        <v>213</v>
      </c>
      <c r="R7">
        <v>0.94399999999999995</v>
      </c>
      <c r="T7" s="4"/>
      <c r="U7" s="3"/>
      <c r="V7" s="3"/>
      <c r="X7" s="5"/>
      <c r="Y7" s="6"/>
      <c r="Z7" s="6"/>
      <c r="AA7" s="3"/>
      <c r="AB7" s="3"/>
      <c r="AE7" s="3"/>
    </row>
    <row r="8" spans="1:36" x14ac:dyDescent="0.35">
      <c r="A8">
        <v>7</v>
      </c>
      <c r="B8" t="s">
        <v>28</v>
      </c>
      <c r="C8" t="s">
        <v>20</v>
      </c>
      <c r="D8" t="s">
        <v>21</v>
      </c>
      <c r="E8" t="s">
        <v>21</v>
      </c>
      <c r="F8" s="1">
        <v>2.4</v>
      </c>
      <c r="G8">
        <v>239</v>
      </c>
      <c r="H8">
        <v>202</v>
      </c>
      <c r="I8" t="s">
        <v>21</v>
      </c>
      <c r="J8">
        <v>250</v>
      </c>
      <c r="K8" t="s">
        <v>22</v>
      </c>
      <c r="L8">
        <f t="shared" si="0"/>
        <v>49087.385212340516</v>
      </c>
      <c r="M8">
        <v>0.33</v>
      </c>
      <c r="N8">
        <v>84.1</v>
      </c>
      <c r="O8">
        <v>18</v>
      </c>
      <c r="P8">
        <v>634</v>
      </c>
      <c r="Q8">
        <v>231</v>
      </c>
      <c r="R8">
        <v>0.56499999999999995</v>
      </c>
      <c r="T8" s="4"/>
      <c r="U8" s="3"/>
      <c r="V8" s="3"/>
      <c r="X8" s="5"/>
      <c r="Y8" s="6"/>
      <c r="Z8" s="6"/>
      <c r="AA8" s="3"/>
      <c r="AB8" s="3"/>
      <c r="AE8" s="3"/>
    </row>
    <row r="9" spans="1:36" x14ac:dyDescent="0.35">
      <c r="A9">
        <v>8</v>
      </c>
      <c r="B9" t="s">
        <v>29</v>
      </c>
      <c r="C9" t="s">
        <v>30</v>
      </c>
      <c r="D9" t="s">
        <v>31</v>
      </c>
      <c r="E9" t="s">
        <v>32</v>
      </c>
      <c r="F9" s="1">
        <v>2.5</v>
      </c>
      <c r="G9">
        <v>320</v>
      </c>
      <c r="H9">
        <v>275</v>
      </c>
      <c r="I9" t="s">
        <v>32</v>
      </c>
      <c r="J9">
        <v>200</v>
      </c>
      <c r="K9" t="s">
        <v>22</v>
      </c>
      <c r="L9">
        <f t="shared" si="0"/>
        <v>40000</v>
      </c>
      <c r="M9">
        <v>1.5</v>
      </c>
      <c r="N9">
        <v>67.5</v>
      </c>
      <c r="O9">
        <v>16</v>
      </c>
      <c r="P9">
        <v>500</v>
      </c>
      <c r="Q9" t="s">
        <v>22</v>
      </c>
      <c r="R9">
        <v>2.0499999999999998</v>
      </c>
      <c r="T9" s="4"/>
      <c r="U9" s="3"/>
      <c r="V9" s="3"/>
      <c r="X9" s="5"/>
      <c r="Y9" s="6"/>
      <c r="Z9" s="6"/>
      <c r="AA9" s="3"/>
      <c r="AB9" s="3"/>
      <c r="AE9" s="3"/>
    </row>
    <row r="10" spans="1:36" x14ac:dyDescent="0.35">
      <c r="A10">
        <v>9</v>
      </c>
      <c r="B10" t="s">
        <v>33</v>
      </c>
      <c r="C10" t="s">
        <v>30</v>
      </c>
      <c r="D10" t="s">
        <v>31</v>
      </c>
      <c r="E10" t="s">
        <v>32</v>
      </c>
      <c r="F10" s="1">
        <v>2.2000000000000002</v>
      </c>
      <c r="G10">
        <v>240</v>
      </c>
      <c r="H10">
        <v>200</v>
      </c>
      <c r="I10" t="s">
        <v>32</v>
      </c>
      <c r="J10">
        <v>150</v>
      </c>
      <c r="K10" t="s">
        <v>22</v>
      </c>
      <c r="L10">
        <f t="shared" si="0"/>
        <v>22500</v>
      </c>
      <c r="M10">
        <v>1.7</v>
      </c>
      <c r="N10">
        <v>73.7</v>
      </c>
      <c r="O10">
        <v>16</v>
      </c>
      <c r="P10">
        <v>500</v>
      </c>
      <c r="Q10" t="s">
        <v>22</v>
      </c>
      <c r="R10">
        <v>1.2</v>
      </c>
      <c r="T10" s="4"/>
      <c r="U10" s="3"/>
      <c r="V10" s="3"/>
      <c r="X10" s="5"/>
      <c r="Y10" s="6"/>
      <c r="Z10" s="6"/>
      <c r="AA10" s="3"/>
      <c r="AB10" s="3"/>
      <c r="AE10" s="3"/>
    </row>
    <row r="11" spans="1:36" x14ac:dyDescent="0.35">
      <c r="A11">
        <v>10</v>
      </c>
      <c r="B11" t="s">
        <v>34</v>
      </c>
      <c r="C11" t="s">
        <v>30</v>
      </c>
      <c r="D11" t="s">
        <v>31</v>
      </c>
      <c r="E11" t="s">
        <v>32</v>
      </c>
      <c r="F11" s="1">
        <v>2.5</v>
      </c>
      <c r="G11">
        <v>320</v>
      </c>
      <c r="H11">
        <v>275</v>
      </c>
      <c r="I11" t="s">
        <v>32</v>
      </c>
      <c r="J11">
        <v>200</v>
      </c>
      <c r="K11" t="s">
        <v>22</v>
      </c>
      <c r="L11">
        <f t="shared" si="0"/>
        <v>40000</v>
      </c>
      <c r="M11">
        <v>1.5</v>
      </c>
      <c r="N11">
        <v>87.9</v>
      </c>
      <c r="O11">
        <v>16</v>
      </c>
      <c r="P11">
        <v>500</v>
      </c>
      <c r="Q11" t="s">
        <v>22</v>
      </c>
      <c r="R11">
        <v>2.25</v>
      </c>
      <c r="T11" s="4"/>
      <c r="U11" s="3"/>
      <c r="V11" s="3"/>
      <c r="X11" s="5"/>
      <c r="Y11" s="6"/>
      <c r="Z11" s="6"/>
      <c r="AA11" s="3"/>
      <c r="AB11" s="3"/>
      <c r="AE11" s="3"/>
    </row>
    <row r="12" spans="1:36" x14ac:dyDescent="0.35">
      <c r="A12">
        <v>11</v>
      </c>
      <c r="B12" t="s">
        <v>35</v>
      </c>
      <c r="C12" t="s">
        <v>30</v>
      </c>
      <c r="D12" t="s">
        <v>31</v>
      </c>
      <c r="E12" t="s">
        <v>32</v>
      </c>
      <c r="F12" s="1">
        <v>2.5</v>
      </c>
      <c r="G12">
        <v>320</v>
      </c>
      <c r="H12">
        <v>275</v>
      </c>
      <c r="I12" t="s">
        <v>32</v>
      </c>
      <c r="J12">
        <v>200</v>
      </c>
      <c r="K12" t="s">
        <v>22</v>
      </c>
      <c r="L12">
        <f t="shared" si="0"/>
        <v>40000</v>
      </c>
      <c r="M12">
        <v>2.5</v>
      </c>
      <c r="N12">
        <v>94.4</v>
      </c>
      <c r="O12">
        <v>16</v>
      </c>
      <c r="P12">
        <v>500</v>
      </c>
      <c r="Q12" t="s">
        <v>22</v>
      </c>
      <c r="R12">
        <v>2.4</v>
      </c>
      <c r="T12" s="4"/>
      <c r="U12" s="3"/>
      <c r="V12" s="3"/>
      <c r="X12" s="5"/>
      <c r="Y12" s="6"/>
      <c r="Z12" s="6"/>
      <c r="AA12" s="3"/>
      <c r="AB12" s="3"/>
      <c r="AE12" s="3"/>
    </row>
    <row r="13" spans="1:36" x14ac:dyDescent="0.35">
      <c r="A13">
        <v>12</v>
      </c>
      <c r="B13" t="s">
        <v>36</v>
      </c>
      <c r="C13" t="s">
        <v>30</v>
      </c>
      <c r="D13" t="s">
        <v>31</v>
      </c>
      <c r="E13" t="s">
        <v>32</v>
      </c>
      <c r="F13" s="1">
        <v>2.2000000000000002</v>
      </c>
      <c r="G13">
        <v>240</v>
      </c>
      <c r="H13">
        <v>200</v>
      </c>
      <c r="I13" t="s">
        <v>32</v>
      </c>
      <c r="J13">
        <v>150</v>
      </c>
      <c r="K13" t="s">
        <v>22</v>
      </c>
      <c r="L13">
        <f t="shared" si="0"/>
        <v>22500</v>
      </c>
      <c r="M13">
        <v>1.7</v>
      </c>
      <c r="N13">
        <v>92.6</v>
      </c>
      <c r="O13">
        <v>16</v>
      </c>
      <c r="P13">
        <v>500</v>
      </c>
      <c r="Q13" t="s">
        <v>22</v>
      </c>
      <c r="R13">
        <v>1.1000000000000001</v>
      </c>
      <c r="T13" s="4"/>
      <c r="U13" s="3"/>
      <c r="V13" s="3"/>
      <c r="X13" s="5"/>
      <c r="Y13" s="6"/>
      <c r="Z13" s="6"/>
      <c r="AA13" s="3"/>
      <c r="AB13" s="3"/>
      <c r="AE13" s="3"/>
    </row>
    <row r="14" spans="1:36" x14ac:dyDescent="0.35">
      <c r="A14">
        <v>13</v>
      </c>
      <c r="B14" t="s">
        <v>37</v>
      </c>
      <c r="C14" t="s">
        <v>30</v>
      </c>
      <c r="D14" t="s">
        <v>31</v>
      </c>
      <c r="E14" t="s">
        <v>32</v>
      </c>
      <c r="F14" s="1">
        <v>2.2000000000000002</v>
      </c>
      <c r="G14">
        <v>240</v>
      </c>
      <c r="H14">
        <v>200</v>
      </c>
      <c r="I14" t="s">
        <v>32</v>
      </c>
      <c r="J14">
        <v>150</v>
      </c>
      <c r="K14" t="s">
        <v>22</v>
      </c>
      <c r="L14">
        <f t="shared" si="0"/>
        <v>22500</v>
      </c>
      <c r="M14">
        <v>1.7</v>
      </c>
      <c r="N14">
        <v>91</v>
      </c>
      <c r="O14">
        <v>16</v>
      </c>
      <c r="P14">
        <v>500</v>
      </c>
      <c r="Q14" t="s">
        <v>22</v>
      </c>
      <c r="R14">
        <v>1.3</v>
      </c>
      <c r="T14" s="4"/>
      <c r="U14" s="3"/>
      <c r="V14" s="3"/>
      <c r="X14" s="5"/>
      <c r="Y14" s="6"/>
      <c r="Z14" s="6"/>
      <c r="AA14" s="3"/>
      <c r="AB14" s="3"/>
      <c r="AE14" s="3"/>
    </row>
    <row r="15" spans="1:36" x14ac:dyDescent="0.35">
      <c r="A15">
        <v>14</v>
      </c>
      <c r="B15" t="s">
        <v>38</v>
      </c>
      <c r="C15" t="s">
        <v>30</v>
      </c>
      <c r="D15" t="s">
        <v>31</v>
      </c>
      <c r="E15" t="s">
        <v>32</v>
      </c>
      <c r="F15" s="1">
        <v>2.2000000000000002</v>
      </c>
      <c r="G15">
        <v>240</v>
      </c>
      <c r="H15">
        <v>200</v>
      </c>
      <c r="I15" t="s">
        <v>32</v>
      </c>
      <c r="J15">
        <v>150</v>
      </c>
      <c r="K15" t="s">
        <v>22</v>
      </c>
      <c r="L15">
        <f t="shared" si="0"/>
        <v>22500</v>
      </c>
      <c r="M15">
        <v>2.6</v>
      </c>
      <c r="N15">
        <v>94</v>
      </c>
      <c r="O15">
        <v>16</v>
      </c>
      <c r="P15">
        <v>500</v>
      </c>
      <c r="Q15" t="s">
        <v>22</v>
      </c>
      <c r="R15">
        <v>1.45</v>
      </c>
      <c r="T15" s="4"/>
      <c r="U15" s="3"/>
      <c r="V15" s="3"/>
      <c r="X15" s="5"/>
      <c r="Y15" s="6"/>
      <c r="Z15" s="6"/>
      <c r="AA15" s="3"/>
      <c r="AB15" s="3"/>
      <c r="AE15" s="3"/>
    </row>
    <row r="16" spans="1:36" x14ac:dyDescent="0.35">
      <c r="A16">
        <v>15</v>
      </c>
      <c r="B16" t="s">
        <v>39</v>
      </c>
      <c r="C16" t="s">
        <v>30</v>
      </c>
      <c r="D16" t="s">
        <v>31</v>
      </c>
      <c r="E16" t="s">
        <v>32</v>
      </c>
      <c r="F16" s="1">
        <v>2.2000000000000002</v>
      </c>
      <c r="G16">
        <v>240</v>
      </c>
      <c r="H16">
        <v>200</v>
      </c>
      <c r="I16" t="s">
        <v>32</v>
      </c>
      <c r="J16">
        <v>150</v>
      </c>
      <c r="K16" t="s">
        <v>22</v>
      </c>
      <c r="L16">
        <f t="shared" si="0"/>
        <v>22500</v>
      </c>
      <c r="M16">
        <v>2.6</v>
      </c>
      <c r="N16">
        <v>84.3</v>
      </c>
      <c r="O16">
        <v>16</v>
      </c>
      <c r="P16">
        <v>500</v>
      </c>
      <c r="Q16" t="s">
        <v>22</v>
      </c>
      <c r="R16">
        <v>1.25</v>
      </c>
      <c r="T16" s="4"/>
      <c r="U16" s="3"/>
      <c r="V16" s="3"/>
      <c r="X16" s="5"/>
      <c r="Y16" s="6"/>
      <c r="Z16" s="6"/>
      <c r="AA16" s="3"/>
      <c r="AB16" s="3"/>
      <c r="AE16" s="3"/>
    </row>
    <row r="17" spans="1:31" x14ac:dyDescent="0.35">
      <c r="A17">
        <v>16</v>
      </c>
      <c r="B17" t="s">
        <v>40</v>
      </c>
      <c r="C17" t="s">
        <v>30</v>
      </c>
      <c r="D17" t="s">
        <v>31</v>
      </c>
      <c r="E17" t="s">
        <v>32</v>
      </c>
      <c r="F17" s="1">
        <v>2.2000000000000002</v>
      </c>
      <c r="G17">
        <v>240</v>
      </c>
      <c r="H17">
        <v>200</v>
      </c>
      <c r="I17" t="s">
        <v>32</v>
      </c>
      <c r="J17">
        <v>150</v>
      </c>
      <c r="K17" t="s">
        <v>22</v>
      </c>
      <c r="L17">
        <f t="shared" si="0"/>
        <v>22500</v>
      </c>
      <c r="M17">
        <v>2.6</v>
      </c>
      <c r="N17">
        <v>102.9</v>
      </c>
      <c r="O17">
        <v>16</v>
      </c>
      <c r="P17">
        <v>500</v>
      </c>
      <c r="Q17" t="s">
        <v>22</v>
      </c>
      <c r="R17">
        <v>1.45</v>
      </c>
      <c r="T17" s="4"/>
      <c r="U17" s="3"/>
      <c r="V17" s="3"/>
      <c r="X17" s="5"/>
      <c r="Y17" s="6"/>
      <c r="Z17" s="6"/>
      <c r="AA17" s="3"/>
      <c r="AB17" s="3"/>
      <c r="AE17" s="3"/>
    </row>
    <row r="18" spans="1:31" x14ac:dyDescent="0.35">
      <c r="A18">
        <v>17</v>
      </c>
      <c r="B18" t="s">
        <v>41</v>
      </c>
      <c r="C18" t="s">
        <v>30</v>
      </c>
      <c r="D18" t="s">
        <v>31</v>
      </c>
      <c r="E18" t="s">
        <v>32</v>
      </c>
      <c r="F18" s="1">
        <v>1.1000000000000001</v>
      </c>
      <c r="G18">
        <v>120</v>
      </c>
      <c r="H18">
        <v>88</v>
      </c>
      <c r="I18" t="s">
        <v>32</v>
      </c>
      <c r="J18">
        <v>100</v>
      </c>
      <c r="K18" t="s">
        <v>22</v>
      </c>
      <c r="L18">
        <f t="shared" si="0"/>
        <v>10000</v>
      </c>
      <c r="M18">
        <v>1.8</v>
      </c>
      <c r="N18">
        <v>89.4</v>
      </c>
      <c r="O18">
        <v>16</v>
      </c>
      <c r="P18">
        <v>500</v>
      </c>
      <c r="Q18" t="s">
        <v>22</v>
      </c>
      <c r="R18">
        <v>0.33</v>
      </c>
      <c r="T18" s="4"/>
      <c r="U18" s="3"/>
      <c r="V18" s="3"/>
      <c r="X18" s="5"/>
      <c r="Y18" s="6"/>
      <c r="Z18" s="6"/>
      <c r="AA18" s="3"/>
      <c r="AB18" s="3"/>
      <c r="AE18" s="3"/>
    </row>
    <row r="19" spans="1:31" x14ac:dyDescent="0.35">
      <c r="A19">
        <v>18</v>
      </c>
      <c r="B19" t="s">
        <v>42</v>
      </c>
      <c r="C19" t="s">
        <v>30</v>
      </c>
      <c r="D19" t="s">
        <v>31</v>
      </c>
      <c r="E19" t="s">
        <v>32</v>
      </c>
      <c r="F19" s="1">
        <v>2.5</v>
      </c>
      <c r="G19">
        <v>320</v>
      </c>
      <c r="H19">
        <v>275</v>
      </c>
      <c r="I19" t="s">
        <v>32</v>
      </c>
      <c r="J19">
        <v>200</v>
      </c>
      <c r="K19" t="s">
        <v>22</v>
      </c>
      <c r="L19">
        <f t="shared" si="0"/>
        <v>40000</v>
      </c>
      <c r="M19">
        <v>1.5</v>
      </c>
      <c r="N19">
        <v>117.6</v>
      </c>
      <c r="O19">
        <v>16</v>
      </c>
      <c r="P19">
        <v>500</v>
      </c>
      <c r="Q19" t="s">
        <v>22</v>
      </c>
      <c r="R19">
        <v>2.4500000000000002</v>
      </c>
      <c r="T19" s="4"/>
      <c r="U19" s="3"/>
      <c r="V19" s="3"/>
      <c r="X19" s="5"/>
      <c r="Y19" s="6"/>
      <c r="Z19" s="6"/>
      <c r="AA19" s="3"/>
      <c r="AB19" s="3"/>
      <c r="AE19" s="3"/>
    </row>
    <row r="20" spans="1:31" x14ac:dyDescent="0.35">
      <c r="A20">
        <v>19</v>
      </c>
      <c r="B20" t="s">
        <v>43</v>
      </c>
      <c r="C20" t="s">
        <v>30</v>
      </c>
      <c r="D20" t="s">
        <v>31</v>
      </c>
      <c r="E20" t="s">
        <v>32</v>
      </c>
      <c r="F20" s="1">
        <v>2.2000000000000002</v>
      </c>
      <c r="G20">
        <v>240</v>
      </c>
      <c r="H20">
        <v>200</v>
      </c>
      <c r="I20" t="s">
        <v>32</v>
      </c>
      <c r="J20">
        <v>150</v>
      </c>
      <c r="K20" t="s">
        <v>22</v>
      </c>
      <c r="L20">
        <f t="shared" si="0"/>
        <v>22500</v>
      </c>
      <c r="M20">
        <v>1.7</v>
      </c>
      <c r="N20">
        <v>125</v>
      </c>
      <c r="O20">
        <v>16</v>
      </c>
      <c r="P20">
        <v>500</v>
      </c>
      <c r="Q20" t="s">
        <v>22</v>
      </c>
      <c r="R20">
        <v>1.4</v>
      </c>
      <c r="T20" s="4"/>
      <c r="U20" s="3"/>
      <c r="V20" s="3"/>
      <c r="X20" s="5"/>
      <c r="Y20" s="6"/>
      <c r="Z20" s="6"/>
      <c r="AA20" s="3"/>
      <c r="AB20" s="3"/>
      <c r="AE20" s="3"/>
    </row>
    <row r="21" spans="1:31" x14ac:dyDescent="0.35">
      <c r="A21">
        <v>20</v>
      </c>
      <c r="B21" t="s">
        <v>44</v>
      </c>
      <c r="C21" t="s">
        <v>30</v>
      </c>
      <c r="D21" t="s">
        <v>31</v>
      </c>
      <c r="E21" t="s">
        <v>32</v>
      </c>
      <c r="F21" s="1">
        <v>2.2000000000000002</v>
      </c>
      <c r="G21">
        <v>240</v>
      </c>
      <c r="H21">
        <v>200</v>
      </c>
      <c r="I21" t="s">
        <v>32</v>
      </c>
      <c r="J21">
        <v>150</v>
      </c>
      <c r="K21" t="s">
        <v>22</v>
      </c>
      <c r="L21">
        <f t="shared" si="0"/>
        <v>22500</v>
      </c>
      <c r="M21">
        <v>2.6</v>
      </c>
      <c r="N21">
        <v>113.5</v>
      </c>
      <c r="O21">
        <v>16</v>
      </c>
      <c r="P21">
        <v>500</v>
      </c>
      <c r="Q21" t="s">
        <v>22</v>
      </c>
      <c r="R21">
        <v>1.55</v>
      </c>
      <c r="T21" s="4"/>
      <c r="U21" s="3"/>
      <c r="V21" s="3"/>
      <c r="X21" s="5"/>
      <c r="Y21" s="6"/>
      <c r="Z21" s="6"/>
      <c r="AA21" s="3"/>
      <c r="AB21" s="3"/>
      <c r="AE21" s="3"/>
    </row>
    <row r="22" spans="1:31" x14ac:dyDescent="0.35">
      <c r="A22">
        <v>21</v>
      </c>
      <c r="B22">
        <v>1</v>
      </c>
      <c r="C22" t="s">
        <v>45</v>
      </c>
      <c r="D22" t="s">
        <v>21</v>
      </c>
      <c r="E22" t="s">
        <v>21</v>
      </c>
      <c r="F22" s="1">
        <v>1.3720000000000001</v>
      </c>
      <c r="G22">
        <v>125</v>
      </c>
      <c r="H22">
        <v>98</v>
      </c>
      <c r="I22" t="s">
        <v>21</v>
      </c>
      <c r="J22">
        <v>150</v>
      </c>
      <c r="K22" t="s">
        <v>22</v>
      </c>
      <c r="L22">
        <f t="shared" si="0"/>
        <v>17671.458676442588</v>
      </c>
      <c r="M22">
        <v>0.57999999999999996</v>
      </c>
      <c r="N22">
        <v>78.400000000000006</v>
      </c>
      <c r="O22">
        <v>10</v>
      </c>
      <c r="P22">
        <v>550</v>
      </c>
      <c r="Q22" t="s">
        <v>22</v>
      </c>
      <c r="R22">
        <v>0.224</v>
      </c>
      <c r="T22" s="4"/>
      <c r="U22" s="3"/>
      <c r="V22" s="3"/>
      <c r="X22" s="5"/>
      <c r="Y22" s="6"/>
      <c r="Z22" s="6"/>
      <c r="AA22" s="3"/>
      <c r="AB22" s="3"/>
      <c r="AE22" s="3"/>
    </row>
    <row r="23" spans="1:31" x14ac:dyDescent="0.35">
      <c r="A23">
        <v>22</v>
      </c>
      <c r="B23">
        <v>2</v>
      </c>
      <c r="C23" t="s">
        <v>45</v>
      </c>
      <c r="D23" t="s">
        <v>21</v>
      </c>
      <c r="E23" t="s">
        <v>21</v>
      </c>
      <c r="F23" s="1">
        <v>1.3720000000000001</v>
      </c>
      <c r="G23">
        <v>125</v>
      </c>
      <c r="H23">
        <v>98</v>
      </c>
      <c r="I23" t="s">
        <v>21</v>
      </c>
      <c r="J23">
        <v>150</v>
      </c>
      <c r="K23" t="s">
        <v>22</v>
      </c>
      <c r="L23">
        <f t="shared" si="0"/>
        <v>17671.458676442588</v>
      </c>
      <c r="M23">
        <v>0.57999999999999996</v>
      </c>
      <c r="N23">
        <v>49.9</v>
      </c>
      <c r="O23">
        <v>10</v>
      </c>
      <c r="P23">
        <v>550</v>
      </c>
      <c r="Q23" t="s">
        <v>22</v>
      </c>
      <c r="R23">
        <v>0.21199999999999999</v>
      </c>
      <c r="T23" s="4"/>
      <c r="U23" s="3"/>
      <c r="V23" s="3"/>
      <c r="X23" s="5"/>
      <c r="Y23" s="6"/>
      <c r="Z23" s="6"/>
      <c r="AA23" s="3"/>
      <c r="AB23" s="3"/>
      <c r="AE23" s="3"/>
    </row>
    <row r="24" spans="1:31" x14ac:dyDescent="0.35">
      <c r="A24">
        <v>23</v>
      </c>
      <c r="B24">
        <v>3</v>
      </c>
      <c r="C24" t="s">
        <v>45</v>
      </c>
      <c r="D24" t="s">
        <v>21</v>
      </c>
      <c r="E24" t="s">
        <v>21</v>
      </c>
      <c r="F24" s="1">
        <v>1.3720000000000001</v>
      </c>
      <c r="G24">
        <v>125</v>
      </c>
      <c r="H24">
        <v>98</v>
      </c>
      <c r="I24" t="s">
        <v>21</v>
      </c>
      <c r="J24">
        <v>150</v>
      </c>
      <c r="K24" t="s">
        <v>22</v>
      </c>
      <c r="L24">
        <f t="shared" si="0"/>
        <v>17671.458676442588</v>
      </c>
      <c r="M24">
        <v>0.57999999999999996</v>
      </c>
      <c r="N24">
        <v>23.9</v>
      </c>
      <c r="O24">
        <v>10</v>
      </c>
      <c r="P24">
        <v>550</v>
      </c>
      <c r="Q24" t="s">
        <v>22</v>
      </c>
      <c r="R24">
        <v>0.16900000000000001</v>
      </c>
      <c r="T24" s="4"/>
      <c r="U24" s="3"/>
      <c r="V24" s="3"/>
      <c r="X24" s="5"/>
      <c r="Y24" s="6"/>
      <c r="Z24" s="6"/>
      <c r="AA24" s="3"/>
      <c r="AB24" s="3"/>
      <c r="AE24" s="3"/>
    </row>
    <row r="25" spans="1:31" x14ac:dyDescent="0.35">
      <c r="A25">
        <v>24</v>
      </c>
      <c r="B25">
        <v>4</v>
      </c>
      <c r="C25" t="s">
        <v>45</v>
      </c>
      <c r="D25" t="s">
        <v>21</v>
      </c>
      <c r="E25" t="s">
        <v>21</v>
      </c>
      <c r="F25" s="1">
        <v>1.3720000000000001</v>
      </c>
      <c r="G25">
        <v>125</v>
      </c>
      <c r="H25">
        <v>98</v>
      </c>
      <c r="I25" t="s">
        <v>21</v>
      </c>
      <c r="J25">
        <v>150</v>
      </c>
      <c r="K25" t="s">
        <v>22</v>
      </c>
      <c r="L25">
        <f t="shared" si="0"/>
        <v>17671.458676442588</v>
      </c>
      <c r="M25">
        <v>0.57999999999999996</v>
      </c>
      <c r="N25">
        <v>52.2</v>
      </c>
      <c r="O25">
        <v>10</v>
      </c>
      <c r="P25">
        <v>550</v>
      </c>
      <c r="Q25" t="s">
        <v>22</v>
      </c>
      <c r="R25">
        <v>0.23300000000000001</v>
      </c>
      <c r="T25" s="4"/>
      <c r="U25" s="3"/>
      <c r="V25" s="3"/>
      <c r="X25" s="5"/>
      <c r="Y25" s="6"/>
      <c r="Z25" s="6"/>
      <c r="AA25" s="3"/>
      <c r="AB25" s="3"/>
      <c r="AE25" s="3"/>
    </row>
    <row r="26" spans="1:31" x14ac:dyDescent="0.35">
      <c r="A26">
        <v>25</v>
      </c>
      <c r="B26">
        <v>6</v>
      </c>
      <c r="C26" t="s">
        <v>45</v>
      </c>
      <c r="D26" t="s">
        <v>21</v>
      </c>
      <c r="E26" t="s">
        <v>21</v>
      </c>
      <c r="F26" s="1">
        <v>1.3720000000000001</v>
      </c>
      <c r="G26">
        <v>125</v>
      </c>
      <c r="H26">
        <v>98</v>
      </c>
      <c r="I26" t="s">
        <v>21</v>
      </c>
      <c r="J26">
        <v>150</v>
      </c>
      <c r="K26" t="s">
        <v>22</v>
      </c>
      <c r="L26">
        <f t="shared" si="0"/>
        <v>17671.458676442588</v>
      </c>
      <c r="M26">
        <v>0.57999999999999996</v>
      </c>
      <c r="N26">
        <v>90.5</v>
      </c>
      <c r="O26">
        <v>10</v>
      </c>
      <c r="P26">
        <v>550</v>
      </c>
      <c r="Q26" t="s">
        <v>22</v>
      </c>
      <c r="R26">
        <v>0.23300000000000001</v>
      </c>
      <c r="T26" s="4"/>
      <c r="U26" s="3"/>
      <c r="V26" s="3"/>
      <c r="X26" s="5"/>
      <c r="Y26" s="6"/>
      <c r="Z26" s="6"/>
      <c r="AA26" s="3"/>
      <c r="AB26" s="3"/>
      <c r="AE26" s="3"/>
    </row>
    <row r="27" spans="1:31" x14ac:dyDescent="0.35">
      <c r="A27">
        <v>26</v>
      </c>
      <c r="B27">
        <v>12</v>
      </c>
      <c r="C27" t="s">
        <v>45</v>
      </c>
      <c r="D27" t="s">
        <v>21</v>
      </c>
      <c r="E27" t="s">
        <v>21</v>
      </c>
      <c r="F27" s="1">
        <v>1.3720000000000001</v>
      </c>
      <c r="G27">
        <v>125</v>
      </c>
      <c r="H27">
        <v>98</v>
      </c>
      <c r="I27" t="s">
        <v>21</v>
      </c>
      <c r="J27">
        <v>150</v>
      </c>
      <c r="K27" t="s">
        <v>22</v>
      </c>
      <c r="L27">
        <f t="shared" si="0"/>
        <v>17671.458676442588</v>
      </c>
      <c r="M27">
        <v>1.28</v>
      </c>
      <c r="N27">
        <v>53.6</v>
      </c>
      <c r="O27">
        <v>10</v>
      </c>
      <c r="P27">
        <v>550</v>
      </c>
      <c r="Q27" t="s">
        <v>22</v>
      </c>
      <c r="R27">
        <v>0.31900000000000001</v>
      </c>
      <c r="T27" s="4"/>
      <c r="U27" s="3"/>
      <c r="V27" s="3"/>
      <c r="X27" s="5"/>
      <c r="Y27" s="6"/>
      <c r="Z27" s="6"/>
      <c r="AA27" s="3"/>
      <c r="AB27" s="3"/>
      <c r="AE27" s="3"/>
    </row>
    <row r="28" spans="1:31" x14ac:dyDescent="0.35">
      <c r="A28">
        <v>27</v>
      </c>
      <c r="B28">
        <v>13</v>
      </c>
      <c r="C28" t="s">
        <v>45</v>
      </c>
      <c r="D28" t="s">
        <v>21</v>
      </c>
      <c r="E28" t="s">
        <v>21</v>
      </c>
      <c r="F28" s="1">
        <v>1.3720000000000001</v>
      </c>
      <c r="G28">
        <v>125</v>
      </c>
      <c r="H28">
        <v>98</v>
      </c>
      <c r="I28" t="s">
        <v>21</v>
      </c>
      <c r="J28">
        <v>150</v>
      </c>
      <c r="K28" t="s">
        <v>22</v>
      </c>
      <c r="L28">
        <f t="shared" si="0"/>
        <v>17671.458676442588</v>
      </c>
      <c r="M28">
        <v>1.28</v>
      </c>
      <c r="N28">
        <v>38.700000000000003</v>
      </c>
      <c r="O28">
        <v>10</v>
      </c>
      <c r="P28">
        <v>550</v>
      </c>
      <c r="Q28" t="s">
        <v>22</v>
      </c>
      <c r="R28">
        <v>0.29699999999999999</v>
      </c>
      <c r="T28" s="4"/>
      <c r="U28" s="3"/>
      <c r="V28" s="3"/>
      <c r="X28" s="5"/>
      <c r="Y28" s="6"/>
      <c r="Z28" s="6"/>
      <c r="AA28" s="3"/>
      <c r="AB28" s="3"/>
      <c r="AE28" s="3"/>
    </row>
    <row r="29" spans="1:31" x14ac:dyDescent="0.35">
      <c r="A29">
        <v>28</v>
      </c>
      <c r="B29">
        <v>14</v>
      </c>
      <c r="C29" t="s">
        <v>45</v>
      </c>
      <c r="D29" t="s">
        <v>21</v>
      </c>
      <c r="E29" t="s">
        <v>21</v>
      </c>
      <c r="F29" s="1">
        <v>1.3720000000000001</v>
      </c>
      <c r="G29">
        <v>125</v>
      </c>
      <c r="H29">
        <v>98</v>
      </c>
      <c r="I29" t="s">
        <v>21</v>
      </c>
      <c r="J29">
        <v>150</v>
      </c>
      <c r="K29" t="s">
        <v>22</v>
      </c>
      <c r="L29">
        <f t="shared" si="0"/>
        <v>17671.458676442588</v>
      </c>
      <c r="M29">
        <v>1.28</v>
      </c>
      <c r="N29">
        <v>54</v>
      </c>
      <c r="O29">
        <v>10</v>
      </c>
      <c r="P29">
        <v>550</v>
      </c>
      <c r="Q29" t="s">
        <v>22</v>
      </c>
      <c r="R29">
        <v>0.34100000000000003</v>
      </c>
      <c r="T29" s="4"/>
      <c r="U29" s="3"/>
      <c r="V29" s="3"/>
      <c r="X29" s="5"/>
      <c r="Y29" s="6"/>
      <c r="Z29" s="6"/>
      <c r="AA29" s="3"/>
      <c r="AB29" s="3"/>
      <c r="AE29" s="3"/>
    </row>
    <row r="30" spans="1:31" x14ac:dyDescent="0.35">
      <c r="A30">
        <v>29</v>
      </c>
      <c r="B30">
        <v>16</v>
      </c>
      <c r="C30" t="s">
        <v>45</v>
      </c>
      <c r="D30" t="s">
        <v>21</v>
      </c>
      <c r="E30" t="s">
        <v>21</v>
      </c>
      <c r="F30" s="1">
        <v>1.3720000000000001</v>
      </c>
      <c r="G30">
        <v>125</v>
      </c>
      <c r="H30">
        <v>98</v>
      </c>
      <c r="I30" t="s">
        <v>21</v>
      </c>
      <c r="J30">
        <v>150</v>
      </c>
      <c r="K30" t="s">
        <v>22</v>
      </c>
      <c r="L30">
        <f t="shared" si="0"/>
        <v>17671.458676442588</v>
      </c>
      <c r="M30">
        <v>1.28</v>
      </c>
      <c r="N30">
        <v>87.4</v>
      </c>
      <c r="O30">
        <v>10</v>
      </c>
      <c r="P30">
        <v>550</v>
      </c>
      <c r="Q30" t="s">
        <v>22</v>
      </c>
      <c r="R30">
        <v>0.36199999999999999</v>
      </c>
      <c r="T30" s="4"/>
      <c r="U30" s="3"/>
      <c r="V30" s="3"/>
      <c r="X30" s="5"/>
      <c r="Y30" s="6"/>
      <c r="Z30" s="6"/>
      <c r="AA30" s="3"/>
      <c r="AB30" s="3"/>
      <c r="AE30" s="3"/>
    </row>
    <row r="31" spans="1:31" x14ac:dyDescent="0.35">
      <c r="A31">
        <v>30</v>
      </c>
      <c r="B31">
        <v>21</v>
      </c>
      <c r="C31" t="s">
        <v>45</v>
      </c>
      <c r="D31" t="s">
        <v>21</v>
      </c>
      <c r="E31" t="s">
        <v>21</v>
      </c>
      <c r="F31" s="1">
        <v>1.3720000000000001</v>
      </c>
      <c r="G31">
        <v>125</v>
      </c>
      <c r="H31">
        <v>98</v>
      </c>
      <c r="I31" t="s">
        <v>21</v>
      </c>
      <c r="J31">
        <v>150</v>
      </c>
      <c r="K31" t="s">
        <v>22</v>
      </c>
      <c r="L31">
        <f t="shared" si="0"/>
        <v>17671.458676442588</v>
      </c>
      <c r="M31">
        <v>1.28</v>
      </c>
      <c r="N31">
        <v>37.200000000000003</v>
      </c>
      <c r="O31">
        <v>20</v>
      </c>
      <c r="P31">
        <v>650</v>
      </c>
      <c r="Q31" t="s">
        <v>22</v>
      </c>
      <c r="R31">
        <v>0.28599999999999998</v>
      </c>
      <c r="T31" s="4"/>
      <c r="U31" s="3"/>
      <c r="V31" s="3"/>
      <c r="X31" s="5"/>
      <c r="Y31" s="6"/>
      <c r="Z31" s="6"/>
      <c r="AA31" s="3"/>
      <c r="AB31" s="3"/>
      <c r="AE31" s="3"/>
    </row>
    <row r="32" spans="1:31" x14ac:dyDescent="0.35">
      <c r="A32">
        <v>31</v>
      </c>
      <c r="B32">
        <v>22</v>
      </c>
      <c r="C32" t="s">
        <v>45</v>
      </c>
      <c r="D32" t="s">
        <v>21</v>
      </c>
      <c r="E32" t="s">
        <v>21</v>
      </c>
      <c r="F32" s="1">
        <v>1.3720000000000001</v>
      </c>
      <c r="G32">
        <v>125</v>
      </c>
      <c r="H32">
        <v>98</v>
      </c>
      <c r="I32" t="s">
        <v>21</v>
      </c>
      <c r="J32">
        <v>150</v>
      </c>
      <c r="K32" t="s">
        <v>22</v>
      </c>
      <c r="L32">
        <f t="shared" si="0"/>
        <v>17671.458676442588</v>
      </c>
      <c r="M32">
        <v>1.28</v>
      </c>
      <c r="N32">
        <v>74.8</v>
      </c>
      <c r="O32">
        <v>20</v>
      </c>
      <c r="P32">
        <v>650</v>
      </c>
      <c r="Q32" t="s">
        <v>22</v>
      </c>
      <c r="R32">
        <v>0.40500000000000003</v>
      </c>
      <c r="T32" s="4"/>
      <c r="U32" s="3"/>
      <c r="V32" s="3"/>
      <c r="X32" s="5"/>
      <c r="Y32" s="6"/>
      <c r="Z32" s="6"/>
      <c r="AA32" s="3"/>
      <c r="AB32" s="3"/>
      <c r="AE32" s="3"/>
    </row>
    <row r="33" spans="1:31" x14ac:dyDescent="0.35">
      <c r="A33">
        <v>32</v>
      </c>
      <c r="B33">
        <v>23</v>
      </c>
      <c r="C33" t="s">
        <v>45</v>
      </c>
      <c r="D33" t="s">
        <v>21</v>
      </c>
      <c r="E33" t="s">
        <v>21</v>
      </c>
      <c r="F33" s="1">
        <v>1.3720000000000001</v>
      </c>
      <c r="G33">
        <v>125</v>
      </c>
      <c r="H33">
        <v>100</v>
      </c>
      <c r="I33" t="s">
        <v>21</v>
      </c>
      <c r="J33">
        <v>150</v>
      </c>
      <c r="K33" t="s">
        <v>22</v>
      </c>
      <c r="L33">
        <f t="shared" si="0"/>
        <v>17671.458676442588</v>
      </c>
      <c r="M33">
        <v>0.87</v>
      </c>
      <c r="N33">
        <v>50.1</v>
      </c>
      <c r="O33">
        <v>20</v>
      </c>
      <c r="P33">
        <v>650</v>
      </c>
      <c r="Q33" t="s">
        <v>22</v>
      </c>
      <c r="R33">
        <v>0.34100000000000003</v>
      </c>
      <c r="T33" s="4"/>
      <c r="U33" s="3"/>
      <c r="V33" s="3"/>
      <c r="X33" s="5"/>
      <c r="Y33" s="6"/>
      <c r="Z33" s="6"/>
      <c r="AA33" s="3"/>
      <c r="AB33" s="3"/>
      <c r="AE33" s="3"/>
    </row>
    <row r="34" spans="1:31" x14ac:dyDescent="0.35">
      <c r="A34">
        <v>33</v>
      </c>
      <c r="B34">
        <v>25</v>
      </c>
      <c r="C34" t="s">
        <v>45</v>
      </c>
      <c r="D34" t="s">
        <v>21</v>
      </c>
      <c r="E34" t="s">
        <v>21</v>
      </c>
      <c r="F34" s="1">
        <v>1.3720000000000001</v>
      </c>
      <c r="G34">
        <v>125</v>
      </c>
      <c r="H34">
        <v>100</v>
      </c>
      <c r="I34" t="s">
        <v>21</v>
      </c>
      <c r="J34">
        <v>150</v>
      </c>
      <c r="K34" t="s">
        <v>22</v>
      </c>
      <c r="L34">
        <f t="shared" si="0"/>
        <v>17671.458676442588</v>
      </c>
      <c r="M34">
        <v>1.27</v>
      </c>
      <c r="N34">
        <v>29.2</v>
      </c>
      <c r="O34">
        <v>10</v>
      </c>
      <c r="P34">
        <v>650</v>
      </c>
      <c r="Q34" t="s">
        <v>22</v>
      </c>
      <c r="R34">
        <v>0.24399999999999999</v>
      </c>
      <c r="T34" s="4"/>
      <c r="U34" s="3"/>
      <c r="V34" s="3"/>
      <c r="X34" s="5"/>
      <c r="Y34" s="6"/>
      <c r="Z34" s="6"/>
      <c r="AA34" s="3"/>
      <c r="AB34" s="3"/>
      <c r="AE34" s="3"/>
    </row>
    <row r="35" spans="1:31" x14ac:dyDescent="0.35">
      <c r="A35">
        <v>34</v>
      </c>
      <c r="B35">
        <v>26</v>
      </c>
      <c r="C35" t="s">
        <v>45</v>
      </c>
      <c r="D35" t="s">
        <v>21</v>
      </c>
      <c r="E35" t="s">
        <v>21</v>
      </c>
      <c r="F35" s="1">
        <v>1.3720000000000001</v>
      </c>
      <c r="G35">
        <v>125</v>
      </c>
      <c r="H35">
        <v>100</v>
      </c>
      <c r="I35" t="s">
        <v>21</v>
      </c>
      <c r="J35">
        <v>150</v>
      </c>
      <c r="K35" t="s">
        <v>22</v>
      </c>
      <c r="L35">
        <f t="shared" si="0"/>
        <v>17671.458676442588</v>
      </c>
      <c r="M35">
        <v>1.27</v>
      </c>
      <c r="N35">
        <v>33.4</v>
      </c>
      <c r="O35">
        <v>20</v>
      </c>
      <c r="P35">
        <v>650</v>
      </c>
      <c r="Q35" t="s">
        <v>22</v>
      </c>
      <c r="R35">
        <v>0.29399999999999998</v>
      </c>
      <c r="T35" s="4"/>
      <c r="U35" s="3"/>
      <c r="V35" s="3"/>
      <c r="X35" s="5"/>
      <c r="Y35" s="6"/>
      <c r="Z35" s="6"/>
      <c r="AA35" s="3"/>
      <c r="AB35" s="3"/>
      <c r="AE35" s="3"/>
    </row>
    <row r="36" spans="1:31" x14ac:dyDescent="0.35">
      <c r="A36">
        <v>35</v>
      </c>
      <c r="B36">
        <v>27</v>
      </c>
      <c r="C36" t="s">
        <v>45</v>
      </c>
      <c r="D36" t="s">
        <v>21</v>
      </c>
      <c r="E36" t="s">
        <v>21</v>
      </c>
      <c r="F36" s="1">
        <v>1.3720000000000001</v>
      </c>
      <c r="G36">
        <v>125</v>
      </c>
      <c r="H36">
        <v>102</v>
      </c>
      <c r="I36" t="s">
        <v>21</v>
      </c>
      <c r="J36">
        <v>150</v>
      </c>
      <c r="K36" t="s">
        <v>22</v>
      </c>
      <c r="L36">
        <f t="shared" si="0"/>
        <v>17671.458676442588</v>
      </c>
      <c r="M36">
        <v>1.03</v>
      </c>
      <c r="N36">
        <v>29.9</v>
      </c>
      <c r="O36">
        <v>20</v>
      </c>
      <c r="P36">
        <v>650</v>
      </c>
      <c r="Q36" t="s">
        <v>22</v>
      </c>
      <c r="R36">
        <v>0.22700000000000001</v>
      </c>
      <c r="T36" s="4"/>
      <c r="U36" s="3"/>
      <c r="V36" s="3"/>
      <c r="X36" s="5"/>
      <c r="Y36" s="6"/>
      <c r="Z36" s="6"/>
      <c r="AA36" s="3"/>
      <c r="AB36" s="3"/>
      <c r="AE36" s="3"/>
    </row>
    <row r="37" spans="1:31" x14ac:dyDescent="0.35">
      <c r="A37">
        <v>36</v>
      </c>
      <c r="B37" t="s">
        <v>46</v>
      </c>
      <c r="C37" t="s">
        <v>47</v>
      </c>
      <c r="D37" t="s">
        <v>48</v>
      </c>
      <c r="E37" t="s">
        <v>32</v>
      </c>
      <c r="F37" s="1">
        <v>1.5</v>
      </c>
      <c r="G37">
        <v>120</v>
      </c>
      <c r="H37">
        <v>95</v>
      </c>
      <c r="I37" t="s">
        <v>32</v>
      </c>
      <c r="J37">
        <v>150</v>
      </c>
      <c r="K37" t="s">
        <v>22</v>
      </c>
      <c r="L37">
        <f t="shared" si="0"/>
        <v>22500</v>
      </c>
      <c r="M37">
        <v>0.49</v>
      </c>
      <c r="N37">
        <v>67</v>
      </c>
      <c r="O37">
        <v>20</v>
      </c>
      <c r="P37">
        <v>490</v>
      </c>
      <c r="Q37" t="s">
        <v>22</v>
      </c>
      <c r="R37">
        <v>0.17799999999999999</v>
      </c>
      <c r="T37" s="4"/>
      <c r="U37" s="3"/>
      <c r="V37" s="3"/>
      <c r="X37" s="5"/>
      <c r="Y37" s="6"/>
      <c r="Z37" s="6"/>
      <c r="AA37" s="3"/>
      <c r="AB37" s="3"/>
      <c r="AE37" s="3"/>
    </row>
    <row r="38" spans="1:31" x14ac:dyDescent="0.35">
      <c r="A38">
        <v>37</v>
      </c>
      <c r="B38" t="s">
        <v>49</v>
      </c>
      <c r="C38" t="s">
        <v>47</v>
      </c>
      <c r="D38" t="s">
        <v>48</v>
      </c>
      <c r="E38" t="s">
        <v>32</v>
      </c>
      <c r="F38" s="1">
        <v>1.5</v>
      </c>
      <c r="G38">
        <v>120</v>
      </c>
      <c r="H38">
        <v>95</v>
      </c>
      <c r="I38" t="s">
        <v>32</v>
      </c>
      <c r="J38">
        <v>150</v>
      </c>
      <c r="K38" t="s">
        <v>22</v>
      </c>
      <c r="L38">
        <f t="shared" si="0"/>
        <v>22500</v>
      </c>
      <c r="M38">
        <v>0.84</v>
      </c>
      <c r="N38">
        <v>70</v>
      </c>
      <c r="O38">
        <v>20</v>
      </c>
      <c r="P38">
        <v>490</v>
      </c>
      <c r="Q38" t="s">
        <v>22</v>
      </c>
      <c r="R38">
        <v>0.249</v>
      </c>
      <c r="T38" s="4"/>
      <c r="U38" s="3"/>
      <c r="V38" s="3"/>
      <c r="X38" s="5"/>
      <c r="Y38" s="6"/>
      <c r="Z38" s="6"/>
      <c r="AA38" s="3"/>
      <c r="AB38" s="3"/>
      <c r="AE38" s="3"/>
    </row>
    <row r="39" spans="1:31" x14ac:dyDescent="0.35">
      <c r="A39">
        <v>38</v>
      </c>
      <c r="B39" t="s">
        <v>50</v>
      </c>
      <c r="C39" t="s">
        <v>47</v>
      </c>
      <c r="D39" t="s">
        <v>48</v>
      </c>
      <c r="E39" t="s">
        <v>32</v>
      </c>
      <c r="F39" s="1">
        <v>1.5</v>
      </c>
      <c r="G39">
        <v>120</v>
      </c>
      <c r="H39">
        <v>95</v>
      </c>
      <c r="I39" t="s">
        <v>32</v>
      </c>
      <c r="J39">
        <v>150</v>
      </c>
      <c r="K39" t="s">
        <v>22</v>
      </c>
      <c r="L39">
        <f t="shared" si="0"/>
        <v>22500</v>
      </c>
      <c r="M39">
        <v>1.47</v>
      </c>
      <c r="N39">
        <v>69</v>
      </c>
      <c r="O39">
        <v>20</v>
      </c>
      <c r="P39">
        <v>490</v>
      </c>
      <c r="Q39" t="s">
        <v>22</v>
      </c>
      <c r="R39">
        <v>0.35599999999999998</v>
      </c>
      <c r="T39" s="4"/>
      <c r="U39" s="3"/>
      <c r="V39" s="3"/>
      <c r="X39" s="5"/>
      <c r="Y39" s="6"/>
      <c r="Z39" s="6"/>
      <c r="AA39" s="3"/>
      <c r="AB39" s="3"/>
      <c r="AE39" s="3"/>
    </row>
    <row r="40" spans="1:31" x14ac:dyDescent="0.35">
      <c r="A40">
        <v>39</v>
      </c>
      <c r="B40" t="s">
        <v>51</v>
      </c>
      <c r="C40" t="s">
        <v>47</v>
      </c>
      <c r="D40" t="s">
        <v>48</v>
      </c>
      <c r="E40" t="s">
        <v>32</v>
      </c>
      <c r="F40" s="1">
        <v>1.5</v>
      </c>
      <c r="G40">
        <v>120</v>
      </c>
      <c r="H40">
        <v>90</v>
      </c>
      <c r="I40" t="s">
        <v>32</v>
      </c>
      <c r="J40">
        <v>150</v>
      </c>
      <c r="K40" t="s">
        <v>22</v>
      </c>
      <c r="L40">
        <f t="shared" si="0"/>
        <v>22500</v>
      </c>
      <c r="M40">
        <v>2.37</v>
      </c>
      <c r="N40">
        <v>66</v>
      </c>
      <c r="O40">
        <v>20</v>
      </c>
      <c r="P40">
        <v>490</v>
      </c>
      <c r="Q40" t="s">
        <v>22</v>
      </c>
      <c r="R40">
        <v>0.41799999999999998</v>
      </c>
      <c r="T40" s="4"/>
      <c r="U40" s="3"/>
      <c r="V40" s="3"/>
      <c r="X40" s="5"/>
      <c r="Y40" s="6"/>
      <c r="Z40" s="6"/>
      <c r="AA40" s="3"/>
      <c r="AB40" s="3"/>
      <c r="AE40" s="3"/>
    </row>
    <row r="41" spans="1:31" x14ac:dyDescent="0.35">
      <c r="A41">
        <v>40</v>
      </c>
      <c r="B41" t="s">
        <v>52</v>
      </c>
      <c r="C41" t="s">
        <v>47</v>
      </c>
      <c r="D41" t="s">
        <v>48</v>
      </c>
      <c r="E41" t="s">
        <v>32</v>
      </c>
      <c r="F41" s="1">
        <v>1.5</v>
      </c>
      <c r="G41">
        <v>120</v>
      </c>
      <c r="H41">
        <v>95</v>
      </c>
      <c r="I41" t="s">
        <v>32</v>
      </c>
      <c r="J41">
        <v>150</v>
      </c>
      <c r="K41" t="s">
        <v>22</v>
      </c>
      <c r="L41">
        <f t="shared" si="0"/>
        <v>22500</v>
      </c>
      <c r="M41">
        <v>1.19</v>
      </c>
      <c r="N41">
        <v>74</v>
      </c>
      <c r="O41">
        <v>20</v>
      </c>
      <c r="P41">
        <v>490</v>
      </c>
      <c r="Q41" t="s">
        <v>22</v>
      </c>
      <c r="R41">
        <v>0.35599999999999998</v>
      </c>
      <c r="T41" s="4"/>
      <c r="U41" s="3"/>
      <c r="V41" s="3"/>
      <c r="X41" s="5"/>
      <c r="Y41" s="6"/>
      <c r="Z41" s="6"/>
      <c r="AA41" s="3"/>
      <c r="AB41" s="3"/>
      <c r="AE41" s="3"/>
    </row>
    <row r="42" spans="1:31" x14ac:dyDescent="0.35">
      <c r="A42">
        <v>41</v>
      </c>
      <c r="B42" t="s">
        <v>53</v>
      </c>
      <c r="C42" t="s">
        <v>47</v>
      </c>
      <c r="D42" t="s">
        <v>48</v>
      </c>
      <c r="E42" t="s">
        <v>32</v>
      </c>
      <c r="F42" s="1">
        <v>1.5</v>
      </c>
      <c r="G42">
        <v>150</v>
      </c>
      <c r="H42">
        <v>120</v>
      </c>
      <c r="I42" t="s">
        <v>32</v>
      </c>
      <c r="J42">
        <v>150</v>
      </c>
      <c r="K42" t="s">
        <v>22</v>
      </c>
      <c r="L42">
        <f t="shared" si="0"/>
        <v>22500</v>
      </c>
      <c r="M42">
        <v>1.1100000000000001</v>
      </c>
      <c r="N42">
        <v>69</v>
      </c>
      <c r="O42">
        <v>20</v>
      </c>
      <c r="P42">
        <v>490</v>
      </c>
      <c r="Q42" t="s">
        <v>22</v>
      </c>
      <c r="R42">
        <v>0.436</v>
      </c>
      <c r="T42" s="4"/>
      <c r="U42" s="3"/>
      <c r="V42" s="3"/>
      <c r="X42" s="5"/>
      <c r="Y42" s="6"/>
      <c r="Z42" s="6"/>
      <c r="AA42" s="3"/>
      <c r="AB42" s="3"/>
      <c r="AE42" s="3"/>
    </row>
    <row r="43" spans="1:31" x14ac:dyDescent="0.35">
      <c r="A43">
        <v>42</v>
      </c>
      <c r="B43" t="s">
        <v>54</v>
      </c>
      <c r="C43" t="s">
        <v>47</v>
      </c>
      <c r="D43" t="s">
        <v>48</v>
      </c>
      <c r="E43" t="s">
        <v>32</v>
      </c>
      <c r="F43" s="1">
        <v>1.5</v>
      </c>
      <c r="G43">
        <v>150</v>
      </c>
      <c r="H43">
        <v>120</v>
      </c>
      <c r="I43" t="s">
        <v>32</v>
      </c>
      <c r="J43">
        <v>150</v>
      </c>
      <c r="K43" t="s">
        <v>22</v>
      </c>
      <c r="L43">
        <f t="shared" si="0"/>
        <v>22500</v>
      </c>
      <c r="M43">
        <v>1.61</v>
      </c>
      <c r="N43">
        <v>74</v>
      </c>
      <c r="O43">
        <v>20</v>
      </c>
      <c r="P43">
        <v>490</v>
      </c>
      <c r="Q43" t="s">
        <v>22</v>
      </c>
      <c r="R43">
        <v>0.54300000000000004</v>
      </c>
      <c r="T43" s="4"/>
      <c r="U43" s="3"/>
      <c r="V43" s="3"/>
      <c r="X43" s="5"/>
      <c r="Y43" s="6"/>
      <c r="Z43" s="6"/>
      <c r="AA43" s="3"/>
      <c r="AB43" s="3"/>
      <c r="AE43" s="3"/>
    </row>
    <row r="44" spans="1:31" x14ac:dyDescent="0.35">
      <c r="A44">
        <v>43</v>
      </c>
      <c r="B44" t="s">
        <v>55</v>
      </c>
      <c r="C44" t="s">
        <v>47</v>
      </c>
      <c r="D44" t="s">
        <v>48</v>
      </c>
      <c r="E44" t="s">
        <v>32</v>
      </c>
      <c r="F44" s="1">
        <v>1.5</v>
      </c>
      <c r="G44">
        <v>150</v>
      </c>
      <c r="H44">
        <v>120</v>
      </c>
      <c r="I44" t="s">
        <v>32</v>
      </c>
      <c r="J44">
        <v>150</v>
      </c>
      <c r="K44" t="s">
        <v>22</v>
      </c>
      <c r="L44">
        <f t="shared" si="0"/>
        <v>22500</v>
      </c>
      <c r="M44">
        <v>2.33</v>
      </c>
      <c r="N44">
        <v>80</v>
      </c>
      <c r="O44">
        <v>20</v>
      </c>
      <c r="P44">
        <v>490</v>
      </c>
      <c r="Q44" t="s">
        <v>22</v>
      </c>
      <c r="R44">
        <v>0.64500000000000002</v>
      </c>
      <c r="T44" s="4"/>
      <c r="U44" s="3"/>
      <c r="V44" s="3"/>
      <c r="X44" s="5"/>
      <c r="Y44" s="6"/>
      <c r="Z44" s="6"/>
      <c r="AA44" s="3"/>
      <c r="AB44" s="3"/>
      <c r="AE44" s="3"/>
    </row>
    <row r="45" spans="1:31" x14ac:dyDescent="0.35">
      <c r="A45">
        <v>44</v>
      </c>
      <c r="B45" t="s">
        <v>56</v>
      </c>
      <c r="C45" t="s">
        <v>47</v>
      </c>
      <c r="D45" t="s">
        <v>48</v>
      </c>
      <c r="E45" t="s">
        <v>32</v>
      </c>
      <c r="F45" s="1">
        <v>1.5</v>
      </c>
      <c r="G45">
        <v>120</v>
      </c>
      <c r="H45">
        <v>95</v>
      </c>
      <c r="I45" t="s">
        <v>32</v>
      </c>
      <c r="J45">
        <v>220</v>
      </c>
      <c r="K45" t="s">
        <v>22</v>
      </c>
      <c r="L45">
        <f t="shared" si="0"/>
        <v>48400</v>
      </c>
      <c r="M45">
        <v>1.47</v>
      </c>
      <c r="N45">
        <v>72</v>
      </c>
      <c r="O45">
        <v>20</v>
      </c>
      <c r="P45">
        <v>490</v>
      </c>
      <c r="Q45" t="s">
        <v>22</v>
      </c>
      <c r="R45">
        <v>0.498</v>
      </c>
      <c r="T45" s="4"/>
      <c r="U45" s="3"/>
      <c r="V45" s="3"/>
      <c r="X45" s="5"/>
      <c r="Y45" s="6"/>
      <c r="Z45" s="6"/>
      <c r="AA45" s="3"/>
      <c r="AB45" s="3"/>
      <c r="AE45" s="3"/>
    </row>
    <row r="46" spans="1:31" x14ac:dyDescent="0.35">
      <c r="A46">
        <v>45</v>
      </c>
      <c r="B46" t="s">
        <v>57</v>
      </c>
      <c r="C46" t="s">
        <v>47</v>
      </c>
      <c r="D46" t="s">
        <v>48</v>
      </c>
      <c r="E46" t="s">
        <v>32</v>
      </c>
      <c r="F46" s="1">
        <v>1.5</v>
      </c>
      <c r="G46">
        <v>120</v>
      </c>
      <c r="H46">
        <v>95</v>
      </c>
      <c r="I46" t="s">
        <v>32</v>
      </c>
      <c r="J46">
        <v>300</v>
      </c>
      <c r="K46" t="s">
        <v>22</v>
      </c>
      <c r="L46">
        <f t="shared" si="0"/>
        <v>90000</v>
      </c>
      <c r="M46">
        <v>1.47</v>
      </c>
      <c r="N46">
        <v>71</v>
      </c>
      <c r="O46">
        <v>20</v>
      </c>
      <c r="P46">
        <v>490</v>
      </c>
      <c r="Q46" t="s">
        <v>22</v>
      </c>
      <c r="R46">
        <v>0.56000000000000005</v>
      </c>
      <c r="T46" s="4"/>
      <c r="U46" s="3"/>
      <c r="V46" s="3"/>
      <c r="X46" s="5"/>
      <c r="Y46" s="6"/>
      <c r="Z46" s="6"/>
      <c r="AA46" s="3"/>
      <c r="AB46" s="3"/>
      <c r="AE46" s="3"/>
    </row>
    <row r="47" spans="1:31" x14ac:dyDescent="0.35">
      <c r="A47">
        <v>46</v>
      </c>
      <c r="B47" t="s">
        <v>58</v>
      </c>
      <c r="C47" t="s">
        <v>47</v>
      </c>
      <c r="D47" t="s">
        <v>48</v>
      </c>
      <c r="E47" t="s">
        <v>32</v>
      </c>
      <c r="F47" s="1">
        <v>1.5</v>
      </c>
      <c r="G47">
        <v>120</v>
      </c>
      <c r="H47">
        <v>95</v>
      </c>
      <c r="I47" t="s">
        <v>32</v>
      </c>
      <c r="J47">
        <v>150</v>
      </c>
      <c r="K47" t="s">
        <v>22</v>
      </c>
      <c r="L47">
        <f t="shared" si="0"/>
        <v>22500</v>
      </c>
      <c r="M47">
        <v>1.47</v>
      </c>
      <c r="N47">
        <v>42</v>
      </c>
      <c r="O47">
        <v>20</v>
      </c>
      <c r="P47">
        <v>490</v>
      </c>
      <c r="Q47" t="s">
        <v>22</v>
      </c>
      <c r="R47">
        <v>0.32</v>
      </c>
      <c r="T47" s="4"/>
      <c r="U47" s="3"/>
      <c r="V47" s="3"/>
      <c r="X47" s="5"/>
      <c r="Y47" s="6"/>
      <c r="Z47" s="6"/>
      <c r="AA47" s="3"/>
      <c r="AB47" s="3"/>
      <c r="AE47" s="3"/>
    </row>
    <row r="48" spans="1:31" x14ac:dyDescent="0.35">
      <c r="A48">
        <v>47</v>
      </c>
      <c r="B48" t="s">
        <v>59</v>
      </c>
      <c r="C48" t="s">
        <v>60</v>
      </c>
      <c r="D48" t="s">
        <v>21</v>
      </c>
      <c r="E48" t="s">
        <v>21</v>
      </c>
      <c r="F48" s="1">
        <v>0.40600000000000003</v>
      </c>
      <c r="G48">
        <v>102</v>
      </c>
      <c r="H48">
        <v>83</v>
      </c>
      <c r="I48" t="s">
        <v>21</v>
      </c>
      <c r="J48">
        <v>102</v>
      </c>
      <c r="K48" t="s">
        <v>22</v>
      </c>
      <c r="L48">
        <f t="shared" si="0"/>
        <v>8171.2824919870518</v>
      </c>
      <c r="M48">
        <v>1.75</v>
      </c>
      <c r="N48">
        <v>38.700000000000003</v>
      </c>
      <c r="O48">
        <v>19</v>
      </c>
      <c r="P48">
        <v>531</v>
      </c>
      <c r="Q48" t="s">
        <v>22</v>
      </c>
      <c r="R48">
        <v>0.20399999999999999</v>
      </c>
      <c r="T48" s="4"/>
      <c r="U48" s="3"/>
      <c r="V48" s="3"/>
      <c r="X48" s="5"/>
      <c r="Y48" s="6"/>
      <c r="Z48" s="6"/>
      <c r="AA48" s="3"/>
      <c r="AB48" s="3"/>
      <c r="AE48" s="3"/>
    </row>
    <row r="49" spans="1:31" x14ac:dyDescent="0.35">
      <c r="A49">
        <v>48</v>
      </c>
      <c r="B49" t="s">
        <v>61</v>
      </c>
      <c r="C49" t="s">
        <v>60</v>
      </c>
      <c r="D49" t="s">
        <v>21</v>
      </c>
      <c r="E49" t="s">
        <v>21</v>
      </c>
      <c r="F49" s="1">
        <v>0.61</v>
      </c>
      <c r="G49">
        <v>102</v>
      </c>
      <c r="H49">
        <v>83</v>
      </c>
      <c r="I49" t="s">
        <v>21</v>
      </c>
      <c r="J49">
        <v>102</v>
      </c>
      <c r="K49" t="s">
        <v>22</v>
      </c>
      <c r="L49">
        <f t="shared" si="0"/>
        <v>8171.2824919870518</v>
      </c>
      <c r="M49">
        <v>1.75</v>
      </c>
      <c r="N49">
        <v>38.700000000000003</v>
      </c>
      <c r="O49">
        <v>19</v>
      </c>
      <c r="P49">
        <v>531</v>
      </c>
      <c r="Q49" t="s">
        <v>22</v>
      </c>
      <c r="R49">
        <v>0.14899999999999999</v>
      </c>
      <c r="T49" s="4"/>
      <c r="U49" s="3"/>
      <c r="V49" s="3"/>
      <c r="X49" s="5"/>
      <c r="Y49" s="6"/>
      <c r="Z49" s="6"/>
      <c r="AA49" s="3"/>
      <c r="AB49" s="3"/>
      <c r="AE49" s="3"/>
    </row>
    <row r="50" spans="1:31" x14ac:dyDescent="0.35">
      <c r="A50">
        <v>49</v>
      </c>
      <c r="B50" t="s">
        <v>62</v>
      </c>
      <c r="C50" t="s">
        <v>60</v>
      </c>
      <c r="D50" t="s">
        <v>21</v>
      </c>
      <c r="E50" t="s">
        <v>21</v>
      </c>
      <c r="F50" s="1">
        <v>0.81299999999999994</v>
      </c>
      <c r="G50">
        <v>102</v>
      </c>
      <c r="H50">
        <v>83</v>
      </c>
      <c r="I50" t="s">
        <v>21</v>
      </c>
      <c r="J50">
        <v>102</v>
      </c>
      <c r="K50" t="s">
        <v>22</v>
      </c>
      <c r="L50">
        <f t="shared" si="0"/>
        <v>8171.2824919870518</v>
      </c>
      <c r="M50">
        <v>1.75</v>
      </c>
      <c r="N50">
        <v>38.700000000000003</v>
      </c>
      <c r="O50">
        <v>19</v>
      </c>
      <c r="P50">
        <v>531</v>
      </c>
      <c r="Q50" t="s">
        <v>22</v>
      </c>
      <c r="R50">
        <v>0.129</v>
      </c>
      <c r="T50" s="4"/>
      <c r="U50" s="3"/>
      <c r="V50" s="3"/>
      <c r="X50" s="5"/>
      <c r="Y50" s="6"/>
      <c r="Z50" s="6"/>
      <c r="AA50" s="3"/>
      <c r="AB50" s="3"/>
      <c r="AE50" s="3"/>
    </row>
    <row r="51" spans="1:31" x14ac:dyDescent="0.35">
      <c r="A51">
        <v>50</v>
      </c>
      <c r="B51" t="s">
        <v>63</v>
      </c>
      <c r="C51" t="s">
        <v>60</v>
      </c>
      <c r="D51" t="s">
        <v>21</v>
      </c>
      <c r="E51" t="s">
        <v>21</v>
      </c>
      <c r="F51" s="1">
        <v>1.2190000000000001</v>
      </c>
      <c r="G51">
        <v>102</v>
      </c>
      <c r="H51">
        <v>83</v>
      </c>
      <c r="I51" t="s">
        <v>21</v>
      </c>
      <c r="J51">
        <v>102</v>
      </c>
      <c r="K51" t="s">
        <v>22</v>
      </c>
      <c r="L51">
        <f t="shared" si="0"/>
        <v>8171.2824919870518</v>
      </c>
      <c r="M51">
        <v>1.75</v>
      </c>
      <c r="N51">
        <v>38.700000000000003</v>
      </c>
      <c r="O51">
        <v>19</v>
      </c>
      <c r="P51">
        <v>531</v>
      </c>
      <c r="Q51" t="s">
        <v>22</v>
      </c>
      <c r="R51">
        <v>0.13900000000000001</v>
      </c>
      <c r="T51" s="4"/>
      <c r="U51" s="3"/>
      <c r="V51" s="3"/>
      <c r="X51" s="5"/>
      <c r="Y51" s="6"/>
      <c r="Z51" s="6"/>
      <c r="AA51" s="3"/>
      <c r="AB51" s="3"/>
      <c r="AE51" s="3"/>
    </row>
    <row r="52" spans="1:31" x14ac:dyDescent="0.35">
      <c r="A52">
        <v>51</v>
      </c>
      <c r="B52" t="s">
        <v>64</v>
      </c>
      <c r="C52" t="s">
        <v>65</v>
      </c>
      <c r="D52" t="s">
        <v>21</v>
      </c>
      <c r="E52" t="s">
        <v>21</v>
      </c>
      <c r="F52" s="1">
        <v>2.38</v>
      </c>
      <c r="G52">
        <v>240</v>
      </c>
      <c r="H52">
        <v>200</v>
      </c>
      <c r="I52" t="s">
        <v>21</v>
      </c>
      <c r="J52">
        <v>250</v>
      </c>
      <c r="K52" t="s">
        <v>22</v>
      </c>
      <c r="L52">
        <f t="shared" si="0"/>
        <v>49087.385212340516</v>
      </c>
      <c r="M52">
        <v>0.8</v>
      </c>
      <c r="N52">
        <v>23.9</v>
      </c>
      <c r="O52">
        <v>32</v>
      </c>
      <c r="P52">
        <v>657</v>
      </c>
      <c r="Q52" t="s">
        <v>22</v>
      </c>
      <c r="R52">
        <v>0.60299999999999998</v>
      </c>
      <c r="T52" s="4"/>
      <c r="U52" s="3"/>
      <c r="V52" s="3"/>
      <c r="X52" s="5"/>
      <c r="Y52" s="6"/>
      <c r="Z52" s="6"/>
      <c r="AA52" s="3"/>
      <c r="AB52" s="3"/>
      <c r="AE52" s="3"/>
    </row>
    <row r="53" spans="1:31" x14ac:dyDescent="0.35">
      <c r="A53">
        <v>52</v>
      </c>
      <c r="B53" t="s">
        <v>66</v>
      </c>
      <c r="C53" t="s">
        <v>65</v>
      </c>
      <c r="D53" t="s">
        <v>21</v>
      </c>
      <c r="E53" t="s">
        <v>21</v>
      </c>
      <c r="F53" s="1">
        <v>2.38</v>
      </c>
      <c r="G53">
        <v>240</v>
      </c>
      <c r="H53">
        <v>199</v>
      </c>
      <c r="I53" t="s">
        <v>21</v>
      </c>
      <c r="J53">
        <v>250</v>
      </c>
      <c r="K53" t="s">
        <v>22</v>
      </c>
      <c r="L53">
        <f t="shared" si="0"/>
        <v>49087.385212340516</v>
      </c>
      <c r="M53">
        <v>0.8</v>
      </c>
      <c r="N53">
        <v>22.6</v>
      </c>
      <c r="O53">
        <v>32</v>
      </c>
      <c r="P53">
        <v>670</v>
      </c>
      <c r="Q53" t="s">
        <v>22</v>
      </c>
      <c r="R53">
        <v>0.6</v>
      </c>
      <c r="T53" s="4"/>
      <c r="U53" s="3"/>
      <c r="V53" s="3"/>
      <c r="X53" s="5"/>
      <c r="Y53" s="6"/>
      <c r="Z53" s="6"/>
      <c r="AA53" s="3"/>
      <c r="AB53" s="3"/>
      <c r="AE53" s="3"/>
    </row>
    <row r="54" spans="1:31" x14ac:dyDescent="0.35">
      <c r="A54">
        <v>53</v>
      </c>
      <c r="B54" t="s">
        <v>67</v>
      </c>
      <c r="C54" t="s">
        <v>65</v>
      </c>
      <c r="D54" t="s">
        <v>21</v>
      </c>
      <c r="E54" t="s">
        <v>21</v>
      </c>
      <c r="F54" s="1">
        <v>2.38</v>
      </c>
      <c r="G54">
        <v>240</v>
      </c>
      <c r="H54">
        <v>200</v>
      </c>
      <c r="I54" t="s">
        <v>21</v>
      </c>
      <c r="J54">
        <v>250</v>
      </c>
      <c r="K54" t="s">
        <v>22</v>
      </c>
      <c r="L54">
        <f t="shared" si="0"/>
        <v>49087.385212340516</v>
      </c>
      <c r="M54">
        <v>0.34</v>
      </c>
      <c r="N54">
        <v>25</v>
      </c>
      <c r="O54">
        <v>32</v>
      </c>
      <c r="P54">
        <v>668</v>
      </c>
      <c r="Q54" t="s">
        <v>22</v>
      </c>
      <c r="R54">
        <v>0.48899999999999999</v>
      </c>
      <c r="T54" s="4"/>
      <c r="U54" s="3"/>
      <c r="V54" s="3"/>
      <c r="X54" s="5"/>
      <c r="Y54" s="6"/>
      <c r="Z54" s="6"/>
      <c r="AA54" s="3"/>
      <c r="AB54" s="3"/>
      <c r="AE54" s="3"/>
    </row>
    <row r="55" spans="1:31" x14ac:dyDescent="0.35">
      <c r="A55">
        <v>54</v>
      </c>
      <c r="B55" t="s">
        <v>68</v>
      </c>
      <c r="C55" t="s">
        <v>65</v>
      </c>
      <c r="D55" t="s">
        <v>21</v>
      </c>
      <c r="E55" t="s">
        <v>21</v>
      </c>
      <c r="F55" s="1">
        <v>2.38</v>
      </c>
      <c r="G55">
        <v>240</v>
      </c>
      <c r="H55">
        <v>197</v>
      </c>
      <c r="I55" t="s">
        <v>21</v>
      </c>
      <c r="J55">
        <v>250</v>
      </c>
      <c r="K55" t="s">
        <v>22</v>
      </c>
      <c r="L55">
        <f t="shared" si="0"/>
        <v>49087.385212340516</v>
      </c>
      <c r="M55">
        <v>0.35</v>
      </c>
      <c r="N55">
        <v>23.8</v>
      </c>
      <c r="O55">
        <v>32</v>
      </c>
      <c r="P55">
        <v>664</v>
      </c>
      <c r="Q55" t="s">
        <v>22</v>
      </c>
      <c r="R55">
        <v>0.44400000000000001</v>
      </c>
      <c r="T55" s="4"/>
      <c r="U55" s="3"/>
      <c r="V55" s="3"/>
      <c r="X55" s="5"/>
      <c r="Y55" s="6"/>
      <c r="Z55" s="6"/>
      <c r="AA55" s="3"/>
      <c r="AB55" s="3"/>
      <c r="AE55" s="3"/>
    </row>
    <row r="56" spans="1:31" x14ac:dyDescent="0.35">
      <c r="A56">
        <v>55</v>
      </c>
      <c r="B56" t="s">
        <v>69</v>
      </c>
      <c r="C56" t="s">
        <v>65</v>
      </c>
      <c r="D56" t="s">
        <v>21</v>
      </c>
      <c r="E56" t="s">
        <v>21</v>
      </c>
      <c r="F56" s="1">
        <v>1.19</v>
      </c>
      <c r="G56">
        <v>120</v>
      </c>
      <c r="H56">
        <v>100</v>
      </c>
      <c r="I56" t="s">
        <v>21</v>
      </c>
      <c r="J56">
        <v>125</v>
      </c>
      <c r="K56" t="s">
        <v>22</v>
      </c>
      <c r="L56">
        <f t="shared" si="0"/>
        <v>12271.846303085129</v>
      </c>
      <c r="M56">
        <v>0.8</v>
      </c>
      <c r="N56">
        <v>28.2</v>
      </c>
      <c r="O56">
        <v>16</v>
      </c>
      <c r="P56">
        <v>706</v>
      </c>
      <c r="Q56" t="s">
        <v>22</v>
      </c>
      <c r="R56">
        <v>0.216</v>
      </c>
      <c r="T56" s="4"/>
      <c r="U56" s="3"/>
      <c r="V56" s="3"/>
      <c r="X56" s="5"/>
      <c r="Y56" s="6"/>
      <c r="Z56" s="6"/>
      <c r="AA56" s="3"/>
      <c r="AB56" s="3"/>
      <c r="AE56" s="3"/>
    </row>
    <row r="57" spans="1:31" x14ac:dyDescent="0.35">
      <c r="A57">
        <v>56</v>
      </c>
      <c r="B57" t="s">
        <v>70</v>
      </c>
      <c r="C57" t="s">
        <v>65</v>
      </c>
      <c r="D57" t="s">
        <v>21</v>
      </c>
      <c r="E57" t="s">
        <v>21</v>
      </c>
      <c r="F57" s="1">
        <v>1.19</v>
      </c>
      <c r="G57">
        <v>120</v>
      </c>
      <c r="H57">
        <v>99</v>
      </c>
      <c r="I57" t="s">
        <v>21</v>
      </c>
      <c r="J57">
        <v>125</v>
      </c>
      <c r="K57" t="s">
        <v>22</v>
      </c>
      <c r="L57">
        <f t="shared" si="0"/>
        <v>12271.846303085129</v>
      </c>
      <c r="M57">
        <v>0.81</v>
      </c>
      <c r="N57">
        <v>22.6</v>
      </c>
      <c r="O57">
        <v>16</v>
      </c>
      <c r="P57">
        <v>701</v>
      </c>
      <c r="Q57" t="s">
        <v>22</v>
      </c>
      <c r="R57">
        <v>0.19400000000000001</v>
      </c>
      <c r="T57" s="4"/>
      <c r="U57" s="3"/>
      <c r="V57" s="3"/>
      <c r="X57" s="5"/>
      <c r="Y57" s="6"/>
      <c r="Z57" s="6"/>
      <c r="AA57" s="3"/>
      <c r="AB57" s="3"/>
      <c r="AE57" s="3"/>
    </row>
    <row r="58" spans="1:31" x14ac:dyDescent="0.35">
      <c r="A58">
        <v>57</v>
      </c>
      <c r="B58" t="s">
        <v>71</v>
      </c>
      <c r="C58" t="s">
        <v>65</v>
      </c>
      <c r="D58" t="s">
        <v>21</v>
      </c>
      <c r="E58" t="s">
        <v>21</v>
      </c>
      <c r="F58" s="1">
        <v>1.19</v>
      </c>
      <c r="G58">
        <v>120</v>
      </c>
      <c r="H58">
        <v>98</v>
      </c>
      <c r="I58" t="s">
        <v>21</v>
      </c>
      <c r="J58">
        <v>125</v>
      </c>
      <c r="K58" t="s">
        <v>22</v>
      </c>
      <c r="L58">
        <f t="shared" si="0"/>
        <v>12271.846303085129</v>
      </c>
      <c r="M58">
        <v>0.35</v>
      </c>
      <c r="N58">
        <v>26.3</v>
      </c>
      <c r="O58">
        <v>16</v>
      </c>
      <c r="P58">
        <v>720</v>
      </c>
      <c r="Q58" t="s">
        <v>22</v>
      </c>
      <c r="R58">
        <v>0.14499999999999999</v>
      </c>
      <c r="T58" s="4"/>
      <c r="U58" s="3"/>
      <c r="V58" s="3"/>
      <c r="X58" s="5"/>
      <c r="Y58" s="6"/>
      <c r="Z58" s="6"/>
      <c r="AA58" s="3"/>
      <c r="AB58" s="3"/>
      <c r="AE58" s="3"/>
    </row>
    <row r="59" spans="1:31" x14ac:dyDescent="0.35">
      <c r="A59">
        <v>58</v>
      </c>
      <c r="B59" t="s">
        <v>72</v>
      </c>
      <c r="C59" t="s">
        <v>65</v>
      </c>
      <c r="D59" t="s">
        <v>21</v>
      </c>
      <c r="E59" t="s">
        <v>21</v>
      </c>
      <c r="F59" s="1">
        <v>1.19</v>
      </c>
      <c r="G59">
        <v>120</v>
      </c>
      <c r="H59">
        <v>99</v>
      </c>
      <c r="I59" t="s">
        <v>21</v>
      </c>
      <c r="J59">
        <v>125</v>
      </c>
      <c r="K59" t="s">
        <v>22</v>
      </c>
      <c r="L59">
        <f t="shared" si="0"/>
        <v>12271.846303085129</v>
      </c>
      <c r="M59">
        <v>0.34</v>
      </c>
      <c r="N59">
        <v>24.8</v>
      </c>
      <c r="O59">
        <v>16</v>
      </c>
      <c r="P59">
        <v>712</v>
      </c>
      <c r="Q59" t="s">
        <v>22</v>
      </c>
      <c r="R59">
        <v>0.14799999999999999</v>
      </c>
      <c r="T59" s="4"/>
      <c r="U59" s="3"/>
      <c r="V59" s="3"/>
      <c r="X59" s="5"/>
      <c r="Y59" s="6"/>
      <c r="Z59" s="6"/>
      <c r="AA59" s="3"/>
      <c r="AB59" s="3"/>
      <c r="AE59" s="3"/>
    </row>
    <row r="60" spans="1:31" x14ac:dyDescent="0.35">
      <c r="A60">
        <v>59</v>
      </c>
      <c r="B60" t="s">
        <v>73</v>
      </c>
      <c r="C60" t="s">
        <v>74</v>
      </c>
      <c r="D60" t="s">
        <v>48</v>
      </c>
      <c r="E60" t="s">
        <v>32</v>
      </c>
      <c r="F60" s="1">
        <v>1.83</v>
      </c>
      <c r="G60">
        <v>100</v>
      </c>
      <c r="H60">
        <v>77</v>
      </c>
      <c r="I60" t="s">
        <v>32</v>
      </c>
      <c r="J60">
        <v>200</v>
      </c>
      <c r="K60" t="s">
        <v>22</v>
      </c>
      <c r="L60">
        <f t="shared" si="0"/>
        <v>40000</v>
      </c>
      <c r="M60">
        <v>1.2</v>
      </c>
      <c r="N60">
        <v>23.1</v>
      </c>
      <c r="O60">
        <v>10</v>
      </c>
      <c r="P60">
        <v>500</v>
      </c>
      <c r="Q60" t="s">
        <v>22</v>
      </c>
      <c r="R60">
        <v>0.17599999999999999</v>
      </c>
      <c r="T60" s="4"/>
      <c r="U60" s="3"/>
      <c r="V60" s="3"/>
      <c r="X60" s="5"/>
      <c r="Y60" s="6"/>
      <c r="Z60" s="6"/>
      <c r="AA60" s="3"/>
      <c r="AB60" s="3"/>
      <c r="AE60" s="3"/>
    </row>
    <row r="61" spans="1:31" x14ac:dyDescent="0.35">
      <c r="A61">
        <v>60</v>
      </c>
      <c r="B61" t="s">
        <v>75</v>
      </c>
      <c r="C61" t="s">
        <v>74</v>
      </c>
      <c r="D61" t="s">
        <v>48</v>
      </c>
      <c r="E61" t="s">
        <v>32</v>
      </c>
      <c r="F61" s="1">
        <v>1.83</v>
      </c>
      <c r="G61">
        <v>100</v>
      </c>
      <c r="H61">
        <v>77</v>
      </c>
      <c r="I61" t="s">
        <v>32</v>
      </c>
      <c r="J61">
        <v>200</v>
      </c>
      <c r="K61" t="s">
        <v>22</v>
      </c>
      <c r="L61">
        <f t="shared" si="0"/>
        <v>40000</v>
      </c>
      <c r="M61">
        <v>0.92</v>
      </c>
      <c r="N61">
        <v>31.9</v>
      </c>
      <c r="O61">
        <v>10</v>
      </c>
      <c r="P61">
        <v>500</v>
      </c>
      <c r="Q61" t="s">
        <v>22</v>
      </c>
      <c r="R61">
        <v>0.19400000000000001</v>
      </c>
      <c r="T61" s="4"/>
      <c r="U61" s="3"/>
      <c r="V61" s="3"/>
      <c r="X61" s="5"/>
      <c r="Y61" s="6"/>
      <c r="Z61" s="6"/>
      <c r="AA61" s="3"/>
      <c r="AB61" s="3"/>
      <c r="AE61" s="3"/>
    </row>
    <row r="62" spans="1:31" x14ac:dyDescent="0.35">
      <c r="A62">
        <v>61</v>
      </c>
      <c r="B62" t="s">
        <v>76</v>
      </c>
      <c r="C62" t="s">
        <v>74</v>
      </c>
      <c r="D62" t="s">
        <v>48</v>
      </c>
      <c r="E62" t="s">
        <v>32</v>
      </c>
      <c r="F62" s="1">
        <v>1.83</v>
      </c>
      <c r="G62">
        <v>100</v>
      </c>
      <c r="H62">
        <v>79</v>
      </c>
      <c r="I62" t="s">
        <v>32</v>
      </c>
      <c r="J62">
        <v>200</v>
      </c>
      <c r="K62" t="s">
        <v>22</v>
      </c>
      <c r="L62">
        <f t="shared" si="0"/>
        <v>40000</v>
      </c>
      <c r="M62">
        <v>0.75</v>
      </c>
      <c r="N62">
        <v>21.6</v>
      </c>
      <c r="O62">
        <v>10</v>
      </c>
      <c r="P62">
        <v>480</v>
      </c>
      <c r="Q62" t="s">
        <v>22</v>
      </c>
      <c r="R62">
        <v>0.16500000000000001</v>
      </c>
      <c r="T62" s="4"/>
      <c r="U62" s="3"/>
      <c r="V62" s="3"/>
      <c r="X62" s="5"/>
      <c r="Y62" s="6"/>
      <c r="Z62" s="6"/>
      <c r="AA62" s="3"/>
      <c r="AB62" s="3"/>
      <c r="AE62" s="3"/>
    </row>
    <row r="63" spans="1:31" x14ac:dyDescent="0.35">
      <c r="A63">
        <v>62</v>
      </c>
      <c r="B63" t="s">
        <v>77</v>
      </c>
      <c r="C63" t="s">
        <v>74</v>
      </c>
      <c r="D63" t="s">
        <v>48</v>
      </c>
      <c r="E63" t="s">
        <v>32</v>
      </c>
      <c r="F63" s="1">
        <v>1.83</v>
      </c>
      <c r="G63">
        <v>100</v>
      </c>
      <c r="H63">
        <v>79</v>
      </c>
      <c r="I63" t="s">
        <v>32</v>
      </c>
      <c r="J63">
        <v>200</v>
      </c>
      <c r="K63" t="s">
        <v>22</v>
      </c>
      <c r="L63">
        <f t="shared" si="0"/>
        <v>40000</v>
      </c>
      <c r="M63">
        <v>0.8</v>
      </c>
      <c r="N63">
        <v>30</v>
      </c>
      <c r="O63">
        <v>10</v>
      </c>
      <c r="P63">
        <v>480</v>
      </c>
      <c r="Q63" t="s">
        <v>22</v>
      </c>
      <c r="R63">
        <v>0.16500000000000001</v>
      </c>
      <c r="T63" s="4"/>
      <c r="U63" s="3"/>
      <c r="V63" s="3"/>
      <c r="X63" s="5"/>
      <c r="Y63" s="6"/>
      <c r="Z63" s="6"/>
      <c r="AA63" s="3"/>
      <c r="AB63" s="3"/>
      <c r="AE63" s="3"/>
    </row>
    <row r="64" spans="1:31" x14ac:dyDescent="0.35">
      <c r="A64">
        <v>63</v>
      </c>
      <c r="B64" t="s">
        <v>78</v>
      </c>
      <c r="C64" t="s">
        <v>74</v>
      </c>
      <c r="D64" t="s">
        <v>48</v>
      </c>
      <c r="E64" t="s">
        <v>32</v>
      </c>
      <c r="F64" s="1">
        <v>2.7450000000000001</v>
      </c>
      <c r="G64">
        <v>250</v>
      </c>
      <c r="H64">
        <v>200</v>
      </c>
      <c r="I64" t="s">
        <v>21</v>
      </c>
      <c r="J64">
        <v>250</v>
      </c>
      <c r="K64" t="s">
        <v>22</v>
      </c>
      <c r="L64">
        <f t="shared" si="0"/>
        <v>49087.385212340516</v>
      </c>
      <c r="M64">
        <v>0.98</v>
      </c>
      <c r="N64">
        <v>34.4</v>
      </c>
      <c r="O64">
        <v>20</v>
      </c>
      <c r="P64">
        <v>530</v>
      </c>
      <c r="Q64" t="s">
        <v>22</v>
      </c>
      <c r="R64">
        <v>0.82499999999999996</v>
      </c>
      <c r="T64" s="4"/>
      <c r="U64" s="3"/>
      <c r="V64" s="3"/>
      <c r="X64" s="5"/>
      <c r="Y64" s="6"/>
      <c r="Z64" s="6"/>
      <c r="AA64" s="3"/>
      <c r="AB64" s="3"/>
      <c r="AE64" s="3"/>
    </row>
    <row r="65" spans="1:31" x14ac:dyDescent="0.35">
      <c r="A65">
        <v>64</v>
      </c>
      <c r="B65" t="s">
        <v>79</v>
      </c>
      <c r="C65" t="s">
        <v>74</v>
      </c>
      <c r="D65" t="s">
        <v>48</v>
      </c>
      <c r="E65" t="s">
        <v>32</v>
      </c>
      <c r="F65" s="1">
        <v>1.8</v>
      </c>
      <c r="G65">
        <v>160</v>
      </c>
      <c r="H65">
        <v>128</v>
      </c>
      <c r="I65" t="s">
        <v>21</v>
      </c>
      <c r="J65">
        <v>160</v>
      </c>
      <c r="K65" t="s">
        <v>22</v>
      </c>
      <c r="L65">
        <f t="shared" si="0"/>
        <v>20106.192982974677</v>
      </c>
      <c r="M65">
        <v>0.98</v>
      </c>
      <c r="N65">
        <v>32.799999999999997</v>
      </c>
      <c r="O65">
        <v>20</v>
      </c>
      <c r="P65">
        <v>485</v>
      </c>
      <c r="Q65" t="s">
        <v>22</v>
      </c>
      <c r="R65">
        <v>0.39</v>
      </c>
      <c r="T65" s="4"/>
      <c r="U65" s="3"/>
      <c r="V65" s="3"/>
      <c r="X65" s="5"/>
      <c r="Y65" s="6"/>
      <c r="Z65" s="6"/>
      <c r="AA65" s="3"/>
      <c r="AB65" s="3"/>
      <c r="AE65" s="3"/>
    </row>
    <row r="66" spans="1:31" x14ac:dyDescent="0.35">
      <c r="A66">
        <v>65</v>
      </c>
      <c r="B66" t="s">
        <v>80</v>
      </c>
      <c r="C66" t="s">
        <v>74</v>
      </c>
      <c r="D66" t="s">
        <v>48</v>
      </c>
      <c r="E66" t="s">
        <v>32</v>
      </c>
      <c r="F66" s="1">
        <v>1.8</v>
      </c>
      <c r="G66">
        <v>160</v>
      </c>
      <c r="H66">
        <v>128</v>
      </c>
      <c r="I66" t="s">
        <v>21</v>
      </c>
      <c r="J66">
        <v>160</v>
      </c>
      <c r="K66" t="s">
        <v>22</v>
      </c>
      <c r="L66">
        <f t="shared" si="0"/>
        <v>20106.192982974677</v>
      </c>
      <c r="M66">
        <v>0.98</v>
      </c>
      <c r="N66">
        <v>33.9</v>
      </c>
      <c r="O66">
        <v>10</v>
      </c>
      <c r="P66">
        <v>485</v>
      </c>
      <c r="Q66" t="s">
        <v>22</v>
      </c>
      <c r="R66">
        <v>0.36499999999999999</v>
      </c>
      <c r="T66" s="4"/>
      <c r="U66" s="3"/>
      <c r="V66" s="3"/>
      <c r="X66" s="5"/>
      <c r="Y66" s="6"/>
      <c r="Z66" s="6"/>
      <c r="AA66" s="3"/>
      <c r="AB66" s="3"/>
      <c r="AE66" s="3"/>
    </row>
    <row r="67" spans="1:31" x14ac:dyDescent="0.35">
      <c r="A67">
        <v>66</v>
      </c>
      <c r="B67" t="s">
        <v>81</v>
      </c>
      <c r="C67" t="s">
        <v>74</v>
      </c>
      <c r="D67" t="s">
        <v>48</v>
      </c>
      <c r="E67" t="s">
        <v>32</v>
      </c>
      <c r="F67" s="1">
        <v>0.9</v>
      </c>
      <c r="G67">
        <v>80</v>
      </c>
      <c r="H67">
        <v>64</v>
      </c>
      <c r="I67" t="s">
        <v>21</v>
      </c>
      <c r="J67">
        <v>80</v>
      </c>
      <c r="K67" t="s">
        <v>22</v>
      </c>
      <c r="L67">
        <f t="shared" ref="L67:L130" si="1">IF(I67="k",J67^2*PI()/4,IF(I67="q",J67^2,J67*K67))</f>
        <v>5026.5482457436692</v>
      </c>
      <c r="M67">
        <v>0.98</v>
      </c>
      <c r="N67">
        <v>32.799999999999997</v>
      </c>
      <c r="O67">
        <v>20</v>
      </c>
      <c r="P67">
        <v>480</v>
      </c>
      <c r="Q67" t="s">
        <v>22</v>
      </c>
      <c r="R67">
        <v>0.11700000000000001</v>
      </c>
      <c r="T67" s="4"/>
      <c r="U67" s="3"/>
      <c r="V67" s="3"/>
      <c r="X67" s="5"/>
      <c r="Y67" s="6"/>
      <c r="Z67" s="6"/>
      <c r="AA67" s="3"/>
      <c r="AB67" s="3"/>
      <c r="AE67" s="3"/>
    </row>
    <row r="68" spans="1:31" x14ac:dyDescent="0.35">
      <c r="A68">
        <v>67</v>
      </c>
      <c r="B68" t="s">
        <v>82</v>
      </c>
      <c r="C68" t="s">
        <v>74</v>
      </c>
      <c r="D68" t="s">
        <v>48</v>
      </c>
      <c r="E68" t="s">
        <v>32</v>
      </c>
      <c r="F68" s="1">
        <v>0.9</v>
      </c>
      <c r="G68">
        <v>80</v>
      </c>
      <c r="H68">
        <v>64</v>
      </c>
      <c r="I68" t="s">
        <v>21</v>
      </c>
      <c r="J68">
        <v>80</v>
      </c>
      <c r="K68" t="s">
        <v>22</v>
      </c>
      <c r="L68">
        <f t="shared" si="1"/>
        <v>5026.5482457436692</v>
      </c>
      <c r="M68">
        <v>0.98</v>
      </c>
      <c r="N68">
        <v>33.9</v>
      </c>
      <c r="O68">
        <v>10</v>
      </c>
      <c r="P68">
        <v>480</v>
      </c>
      <c r="Q68" t="s">
        <v>22</v>
      </c>
      <c r="R68">
        <v>0.105</v>
      </c>
      <c r="T68" s="4"/>
      <c r="U68" s="3"/>
      <c r="V68" s="3"/>
      <c r="X68" s="5"/>
      <c r="Y68" s="6"/>
      <c r="Z68" s="6"/>
      <c r="AA68" s="3"/>
      <c r="AB68" s="3"/>
      <c r="AE68" s="3"/>
    </row>
    <row r="69" spans="1:31" x14ac:dyDescent="0.35">
      <c r="A69">
        <v>68</v>
      </c>
      <c r="B69" t="s">
        <v>83</v>
      </c>
      <c r="C69" t="s">
        <v>74</v>
      </c>
      <c r="D69" t="s">
        <v>48</v>
      </c>
      <c r="E69" t="s">
        <v>32</v>
      </c>
      <c r="F69" s="1">
        <v>0.9</v>
      </c>
      <c r="G69">
        <v>80</v>
      </c>
      <c r="H69">
        <v>64</v>
      </c>
      <c r="I69" t="s">
        <v>21</v>
      </c>
      <c r="J69">
        <v>80</v>
      </c>
      <c r="K69" t="s">
        <v>22</v>
      </c>
      <c r="L69">
        <f t="shared" si="1"/>
        <v>5026.5482457436692</v>
      </c>
      <c r="M69">
        <v>0.98</v>
      </c>
      <c r="N69">
        <v>35.700000000000003</v>
      </c>
      <c r="O69">
        <v>5</v>
      </c>
      <c r="P69">
        <v>480</v>
      </c>
      <c r="Q69" t="s">
        <v>22</v>
      </c>
      <c r="R69">
        <v>0.105</v>
      </c>
      <c r="T69" s="4"/>
      <c r="U69" s="3"/>
      <c r="V69" s="3"/>
      <c r="X69" s="5"/>
      <c r="Y69" s="6"/>
      <c r="Z69" s="6"/>
      <c r="AA69" s="3"/>
      <c r="AB69" s="3"/>
      <c r="AE69" s="3"/>
    </row>
    <row r="70" spans="1:31" x14ac:dyDescent="0.35">
      <c r="A70">
        <v>69</v>
      </c>
      <c r="B70" t="s">
        <v>84</v>
      </c>
      <c r="C70" t="s">
        <v>74</v>
      </c>
      <c r="D70" t="s">
        <v>21</v>
      </c>
      <c r="E70" t="s">
        <v>21</v>
      </c>
      <c r="F70" s="1">
        <v>1.37</v>
      </c>
      <c r="G70">
        <v>120</v>
      </c>
      <c r="H70">
        <v>95</v>
      </c>
      <c r="I70" t="s">
        <v>21</v>
      </c>
      <c r="J70">
        <v>150</v>
      </c>
      <c r="K70" t="s">
        <v>22</v>
      </c>
      <c r="L70">
        <f t="shared" si="1"/>
        <v>17671.458676442588</v>
      </c>
      <c r="M70">
        <v>0.83</v>
      </c>
      <c r="N70">
        <v>22.9</v>
      </c>
      <c r="O70" t="s">
        <v>22</v>
      </c>
      <c r="P70">
        <v>494</v>
      </c>
      <c r="Q70" t="s">
        <v>22</v>
      </c>
      <c r="R70">
        <v>0.19700000000000001</v>
      </c>
      <c r="T70" s="4"/>
      <c r="U70" s="3"/>
      <c r="V70" s="3"/>
      <c r="X70" s="5"/>
      <c r="Y70" s="6"/>
      <c r="Z70" s="6"/>
      <c r="AA70" s="3"/>
      <c r="AB70" s="3"/>
      <c r="AE70" s="3"/>
    </row>
    <row r="71" spans="1:31" x14ac:dyDescent="0.35">
      <c r="A71">
        <v>70</v>
      </c>
      <c r="B71" t="s">
        <v>85</v>
      </c>
      <c r="C71" t="s">
        <v>74</v>
      </c>
      <c r="D71" t="s">
        <v>21</v>
      </c>
      <c r="E71" t="s">
        <v>21</v>
      </c>
      <c r="F71" s="1">
        <v>1.37</v>
      </c>
      <c r="G71">
        <v>120</v>
      </c>
      <c r="H71">
        <v>95</v>
      </c>
      <c r="I71" t="s">
        <v>21</v>
      </c>
      <c r="J71">
        <v>150</v>
      </c>
      <c r="K71" t="s">
        <v>22</v>
      </c>
      <c r="L71">
        <f t="shared" si="1"/>
        <v>17671.458676442588</v>
      </c>
      <c r="M71">
        <v>0.83</v>
      </c>
      <c r="N71">
        <v>9.4</v>
      </c>
      <c r="O71" t="s">
        <v>22</v>
      </c>
      <c r="P71">
        <v>494</v>
      </c>
      <c r="Q71" t="s">
        <v>22</v>
      </c>
      <c r="R71">
        <v>0.123</v>
      </c>
      <c r="T71" s="4"/>
      <c r="U71" s="3"/>
      <c r="V71" s="3"/>
      <c r="X71" s="5"/>
      <c r="Y71" s="6"/>
      <c r="Z71" s="6"/>
      <c r="AA71" s="3"/>
      <c r="AB71" s="3"/>
      <c r="AE71" s="3"/>
    </row>
    <row r="72" spans="1:31" x14ac:dyDescent="0.35">
      <c r="A72">
        <v>71</v>
      </c>
      <c r="B72" t="s">
        <v>86</v>
      </c>
      <c r="C72" t="s">
        <v>74</v>
      </c>
      <c r="D72" t="s">
        <v>21</v>
      </c>
      <c r="E72" t="s">
        <v>21</v>
      </c>
      <c r="F72" s="1">
        <v>1.37</v>
      </c>
      <c r="G72">
        <v>120</v>
      </c>
      <c r="H72">
        <v>95</v>
      </c>
      <c r="I72" t="s">
        <v>21</v>
      </c>
      <c r="J72">
        <v>150</v>
      </c>
      <c r="K72" t="s">
        <v>22</v>
      </c>
      <c r="L72">
        <f t="shared" si="1"/>
        <v>17671.458676442588</v>
      </c>
      <c r="M72">
        <v>0.83</v>
      </c>
      <c r="N72">
        <v>37.299999999999997</v>
      </c>
      <c r="O72" t="s">
        <v>22</v>
      </c>
      <c r="P72">
        <v>494</v>
      </c>
      <c r="Q72" t="s">
        <v>22</v>
      </c>
      <c r="R72">
        <v>0.214</v>
      </c>
      <c r="T72" s="4"/>
      <c r="U72" s="3"/>
      <c r="V72" s="3"/>
      <c r="X72" s="5"/>
      <c r="Y72" s="6"/>
      <c r="Z72" s="6"/>
      <c r="AA72" s="3"/>
      <c r="AB72" s="3"/>
      <c r="AE72" s="3"/>
    </row>
    <row r="73" spans="1:31" x14ac:dyDescent="0.35">
      <c r="A73">
        <v>72</v>
      </c>
      <c r="B73" t="s">
        <v>87</v>
      </c>
      <c r="C73" t="s">
        <v>74</v>
      </c>
      <c r="D73" t="s">
        <v>21</v>
      </c>
      <c r="E73" t="s">
        <v>21</v>
      </c>
      <c r="F73" s="1">
        <v>1.37</v>
      </c>
      <c r="G73">
        <v>120</v>
      </c>
      <c r="H73">
        <v>93</v>
      </c>
      <c r="I73" t="s">
        <v>21</v>
      </c>
      <c r="J73">
        <v>150</v>
      </c>
      <c r="K73" t="s">
        <v>22</v>
      </c>
      <c r="L73">
        <f t="shared" si="1"/>
        <v>17671.458676442588</v>
      </c>
      <c r="M73">
        <v>1.52</v>
      </c>
      <c r="N73">
        <v>11.8</v>
      </c>
      <c r="O73" t="s">
        <v>22</v>
      </c>
      <c r="P73">
        <v>464</v>
      </c>
      <c r="Q73" t="s">
        <v>22</v>
      </c>
      <c r="R73">
        <v>0.154</v>
      </c>
      <c r="T73" s="4"/>
      <c r="U73" s="3"/>
      <c r="V73" s="3"/>
      <c r="X73" s="5"/>
      <c r="Y73" s="6"/>
      <c r="Z73" s="6"/>
      <c r="AA73" s="3"/>
      <c r="AB73" s="3"/>
      <c r="AE73" s="3"/>
    </row>
    <row r="74" spans="1:31" x14ac:dyDescent="0.35">
      <c r="A74">
        <v>73</v>
      </c>
      <c r="B74" t="s">
        <v>88</v>
      </c>
      <c r="C74" t="s">
        <v>74</v>
      </c>
      <c r="D74" t="s">
        <v>21</v>
      </c>
      <c r="E74" t="s">
        <v>21</v>
      </c>
      <c r="F74" s="1">
        <v>1.37</v>
      </c>
      <c r="G74">
        <v>120</v>
      </c>
      <c r="H74">
        <v>93</v>
      </c>
      <c r="I74" t="s">
        <v>21</v>
      </c>
      <c r="J74">
        <v>150</v>
      </c>
      <c r="K74" t="s">
        <v>22</v>
      </c>
      <c r="L74">
        <f t="shared" si="1"/>
        <v>17671.458676442588</v>
      </c>
      <c r="M74">
        <v>1.52</v>
      </c>
      <c r="N74">
        <v>26.4</v>
      </c>
      <c r="O74" t="s">
        <v>22</v>
      </c>
      <c r="P74">
        <v>464</v>
      </c>
      <c r="Q74" t="s">
        <v>22</v>
      </c>
      <c r="R74">
        <v>0.214</v>
      </c>
      <c r="T74" s="4"/>
      <c r="U74" s="3"/>
      <c r="V74" s="3"/>
      <c r="X74" s="5"/>
      <c r="Y74" s="6"/>
      <c r="Z74" s="6"/>
      <c r="AA74" s="3"/>
      <c r="AB74" s="3"/>
      <c r="AE74" s="3"/>
    </row>
    <row r="75" spans="1:31" x14ac:dyDescent="0.35">
      <c r="A75">
        <v>74</v>
      </c>
      <c r="B75" t="s">
        <v>89</v>
      </c>
      <c r="C75" t="s">
        <v>74</v>
      </c>
      <c r="D75" t="s">
        <v>21</v>
      </c>
      <c r="E75" t="s">
        <v>21</v>
      </c>
      <c r="F75" s="1">
        <v>1.37</v>
      </c>
      <c r="G75">
        <v>120</v>
      </c>
      <c r="H75">
        <v>93</v>
      </c>
      <c r="I75" t="s">
        <v>21</v>
      </c>
      <c r="J75">
        <v>150</v>
      </c>
      <c r="K75" t="s">
        <v>22</v>
      </c>
      <c r="L75">
        <f t="shared" si="1"/>
        <v>17671.458676442588</v>
      </c>
      <c r="M75">
        <v>1.52</v>
      </c>
      <c r="N75">
        <v>42.1</v>
      </c>
      <c r="O75" t="s">
        <v>22</v>
      </c>
      <c r="P75">
        <v>464</v>
      </c>
      <c r="Q75" t="s">
        <v>22</v>
      </c>
      <c r="R75">
        <v>0.248</v>
      </c>
      <c r="T75" s="4"/>
      <c r="U75" s="3"/>
      <c r="V75" s="3"/>
      <c r="X75" s="5"/>
      <c r="Y75" s="6"/>
      <c r="Z75" s="6"/>
      <c r="AA75" s="3"/>
      <c r="AB75" s="3"/>
      <c r="AE75" s="3"/>
    </row>
    <row r="76" spans="1:31" x14ac:dyDescent="0.35">
      <c r="A76">
        <v>75</v>
      </c>
      <c r="B76" t="s">
        <v>90</v>
      </c>
      <c r="C76" t="s">
        <v>74</v>
      </c>
      <c r="D76" t="s">
        <v>48</v>
      </c>
      <c r="E76" t="s">
        <v>32</v>
      </c>
      <c r="F76" s="1">
        <v>1.5</v>
      </c>
      <c r="G76">
        <v>150</v>
      </c>
      <c r="H76">
        <v>118</v>
      </c>
      <c r="I76" t="s">
        <v>21</v>
      </c>
      <c r="J76">
        <v>54</v>
      </c>
      <c r="K76" t="s">
        <v>22</v>
      </c>
      <c r="L76">
        <f t="shared" si="1"/>
        <v>2290.221044466959</v>
      </c>
      <c r="M76">
        <v>0.8</v>
      </c>
      <c r="N76">
        <v>33.9</v>
      </c>
      <c r="O76" t="s">
        <v>22</v>
      </c>
      <c r="P76">
        <v>628</v>
      </c>
      <c r="Q76" t="s">
        <v>22</v>
      </c>
      <c r="R76">
        <v>0.17</v>
      </c>
      <c r="T76" s="4"/>
      <c r="U76" s="3"/>
      <c r="V76" s="3"/>
      <c r="X76" s="5"/>
      <c r="Y76" s="6"/>
      <c r="Z76" s="6"/>
      <c r="AA76" s="3"/>
      <c r="AB76" s="3"/>
      <c r="AE76" s="3"/>
    </row>
    <row r="77" spans="1:31" x14ac:dyDescent="0.35">
      <c r="A77">
        <v>76</v>
      </c>
      <c r="B77" t="s">
        <v>91</v>
      </c>
      <c r="C77" t="s">
        <v>74</v>
      </c>
      <c r="D77" t="s">
        <v>48</v>
      </c>
      <c r="E77" t="s">
        <v>32</v>
      </c>
      <c r="F77" s="1">
        <v>1.5</v>
      </c>
      <c r="G77">
        <v>150</v>
      </c>
      <c r="H77">
        <v>118</v>
      </c>
      <c r="I77" t="s">
        <v>21</v>
      </c>
      <c r="J77">
        <v>170</v>
      </c>
      <c r="K77" t="s">
        <v>22</v>
      </c>
      <c r="L77">
        <f t="shared" si="1"/>
        <v>22698.006922186254</v>
      </c>
      <c r="M77">
        <v>0.8</v>
      </c>
      <c r="N77">
        <v>31.7</v>
      </c>
      <c r="O77" t="s">
        <v>22</v>
      </c>
      <c r="P77">
        <v>628</v>
      </c>
      <c r="Q77" t="s">
        <v>22</v>
      </c>
      <c r="R77">
        <v>0.28000000000000003</v>
      </c>
      <c r="T77" s="4"/>
      <c r="U77" s="3"/>
      <c r="V77" s="3"/>
      <c r="X77" s="5"/>
      <c r="Y77" s="6"/>
      <c r="Z77" s="6"/>
      <c r="AA77" s="3"/>
      <c r="AB77" s="3"/>
      <c r="AE77" s="3"/>
    </row>
    <row r="78" spans="1:31" x14ac:dyDescent="0.35">
      <c r="A78">
        <v>77</v>
      </c>
      <c r="B78" t="s">
        <v>92</v>
      </c>
      <c r="C78" t="s">
        <v>74</v>
      </c>
      <c r="D78" t="s">
        <v>48</v>
      </c>
      <c r="E78" t="s">
        <v>32</v>
      </c>
      <c r="F78" s="1">
        <v>1.5</v>
      </c>
      <c r="G78">
        <v>150</v>
      </c>
      <c r="H78">
        <v>118</v>
      </c>
      <c r="I78" t="s">
        <v>21</v>
      </c>
      <c r="J78">
        <v>110</v>
      </c>
      <c r="K78" t="s">
        <v>22</v>
      </c>
      <c r="L78">
        <f t="shared" si="1"/>
        <v>9503.317777109125</v>
      </c>
      <c r="M78">
        <v>0.8</v>
      </c>
      <c r="N78">
        <v>32</v>
      </c>
      <c r="O78" t="s">
        <v>22</v>
      </c>
      <c r="P78">
        <v>628</v>
      </c>
      <c r="Q78" t="s">
        <v>22</v>
      </c>
      <c r="R78">
        <v>0.26500000000000001</v>
      </c>
      <c r="T78" s="4"/>
      <c r="U78" s="3"/>
      <c r="V78" s="3"/>
      <c r="X78" s="5"/>
      <c r="Y78" s="6"/>
      <c r="Z78" s="6"/>
      <c r="AA78" s="3"/>
      <c r="AB78" s="3"/>
      <c r="AE78" s="3"/>
    </row>
    <row r="79" spans="1:31" x14ac:dyDescent="0.35">
      <c r="A79">
        <v>78</v>
      </c>
      <c r="B79" t="s">
        <v>93</v>
      </c>
      <c r="C79" t="s">
        <v>74</v>
      </c>
      <c r="D79" t="s">
        <v>48</v>
      </c>
      <c r="E79" t="s">
        <v>32</v>
      </c>
      <c r="F79" s="1">
        <v>1.5</v>
      </c>
      <c r="G79">
        <v>150</v>
      </c>
      <c r="H79">
        <v>118</v>
      </c>
      <c r="I79" t="s">
        <v>32</v>
      </c>
      <c r="J79">
        <v>102</v>
      </c>
      <c r="K79" t="s">
        <v>22</v>
      </c>
      <c r="L79">
        <f t="shared" si="1"/>
        <v>10404</v>
      </c>
      <c r="M79">
        <v>0.8</v>
      </c>
      <c r="N79">
        <v>35.799999999999997</v>
      </c>
      <c r="O79" t="s">
        <v>22</v>
      </c>
      <c r="P79">
        <v>628</v>
      </c>
      <c r="Q79" t="s">
        <v>22</v>
      </c>
      <c r="R79">
        <v>0.28499999999999998</v>
      </c>
      <c r="T79" s="4"/>
      <c r="U79" s="3"/>
      <c r="V79" s="3"/>
      <c r="X79" s="5"/>
      <c r="Y79" s="6"/>
      <c r="Z79" s="6"/>
      <c r="AA79" s="3"/>
      <c r="AB79" s="3"/>
      <c r="AE79" s="3"/>
    </row>
    <row r="80" spans="1:31" x14ac:dyDescent="0.35">
      <c r="A80">
        <v>79</v>
      </c>
      <c r="B80" t="s">
        <v>94</v>
      </c>
      <c r="C80" t="s">
        <v>74</v>
      </c>
      <c r="D80" t="s">
        <v>48</v>
      </c>
      <c r="E80" t="s">
        <v>32</v>
      </c>
      <c r="F80" s="1">
        <v>1.5</v>
      </c>
      <c r="G80">
        <v>150</v>
      </c>
      <c r="H80">
        <v>118</v>
      </c>
      <c r="I80" t="s">
        <v>21</v>
      </c>
      <c r="J80">
        <v>150</v>
      </c>
      <c r="K80" t="s">
        <v>22</v>
      </c>
      <c r="L80">
        <f t="shared" si="1"/>
        <v>17671.458676442588</v>
      </c>
      <c r="M80">
        <v>0.8</v>
      </c>
      <c r="N80">
        <v>32.4</v>
      </c>
      <c r="O80" t="s">
        <v>22</v>
      </c>
      <c r="P80">
        <v>628</v>
      </c>
      <c r="Q80" t="s">
        <v>22</v>
      </c>
      <c r="R80">
        <v>0.28499999999999998</v>
      </c>
      <c r="T80" s="4"/>
      <c r="U80" s="3"/>
      <c r="V80" s="3"/>
      <c r="X80" s="5"/>
      <c r="Y80" s="6"/>
      <c r="Z80" s="6"/>
      <c r="AA80" s="3"/>
      <c r="AB80" s="3"/>
      <c r="AE80" s="3"/>
    </row>
    <row r="81" spans="1:31" x14ac:dyDescent="0.35">
      <c r="A81">
        <v>80</v>
      </c>
      <c r="B81" t="s">
        <v>95</v>
      </c>
      <c r="C81" t="s">
        <v>96</v>
      </c>
      <c r="D81" t="s">
        <v>48</v>
      </c>
      <c r="E81" t="s">
        <v>32</v>
      </c>
      <c r="F81" s="1">
        <v>1.69</v>
      </c>
      <c r="G81">
        <v>125</v>
      </c>
      <c r="H81">
        <v>100</v>
      </c>
      <c r="I81" t="s">
        <v>32</v>
      </c>
      <c r="J81">
        <v>150</v>
      </c>
      <c r="K81" t="s">
        <v>22</v>
      </c>
      <c r="L81">
        <f t="shared" si="1"/>
        <v>22500</v>
      </c>
      <c r="M81">
        <v>0.56000000000000005</v>
      </c>
      <c r="N81">
        <v>38.799999999999997</v>
      </c>
      <c r="O81">
        <v>10</v>
      </c>
      <c r="P81">
        <v>462</v>
      </c>
      <c r="Q81" t="s">
        <v>22</v>
      </c>
      <c r="R81">
        <v>0.19800000000000001</v>
      </c>
      <c r="T81" s="4"/>
      <c r="U81" s="3"/>
      <c r="V81" s="3"/>
      <c r="X81" s="5"/>
      <c r="Y81" s="6"/>
      <c r="Z81" s="6"/>
      <c r="AA81" s="3"/>
      <c r="AB81" s="3"/>
      <c r="AE81" s="3"/>
    </row>
    <row r="82" spans="1:31" x14ac:dyDescent="0.35">
      <c r="A82">
        <v>81</v>
      </c>
      <c r="B82" t="s">
        <v>97</v>
      </c>
      <c r="C82" t="s">
        <v>98</v>
      </c>
      <c r="D82" t="s">
        <v>99</v>
      </c>
      <c r="E82" t="s">
        <v>21</v>
      </c>
      <c r="F82" s="1">
        <v>2.6</v>
      </c>
      <c r="G82">
        <v>180</v>
      </c>
      <c r="H82">
        <v>143</v>
      </c>
      <c r="I82" t="s">
        <v>21</v>
      </c>
      <c r="J82">
        <v>300</v>
      </c>
      <c r="K82" t="s">
        <v>22</v>
      </c>
      <c r="L82">
        <f t="shared" si="1"/>
        <v>70685.83470577035</v>
      </c>
      <c r="M82">
        <v>1.49</v>
      </c>
      <c r="N82">
        <v>35.4</v>
      </c>
      <c r="O82">
        <v>16</v>
      </c>
      <c r="P82">
        <v>558</v>
      </c>
      <c r="Q82">
        <v>210</v>
      </c>
      <c r="R82">
        <v>0.628</v>
      </c>
      <c r="T82" s="4"/>
      <c r="U82" s="3"/>
      <c r="V82" s="3"/>
      <c r="X82" s="5"/>
      <c r="Y82" s="6"/>
      <c r="Z82" s="6"/>
      <c r="AA82" s="3"/>
      <c r="AB82" s="3"/>
      <c r="AE82" s="3"/>
    </row>
    <row r="83" spans="1:31" x14ac:dyDescent="0.35">
      <c r="A83">
        <v>82</v>
      </c>
      <c r="B83" t="s">
        <v>100</v>
      </c>
      <c r="C83" t="s">
        <v>101</v>
      </c>
      <c r="D83" t="s">
        <v>99</v>
      </c>
      <c r="E83" t="s">
        <v>21</v>
      </c>
      <c r="F83" s="1">
        <v>2.6</v>
      </c>
      <c r="G83">
        <v>180</v>
      </c>
      <c r="H83">
        <v>154</v>
      </c>
      <c r="I83" t="s">
        <v>21</v>
      </c>
      <c r="J83">
        <v>300</v>
      </c>
      <c r="K83" t="s">
        <v>22</v>
      </c>
      <c r="L83">
        <f t="shared" si="1"/>
        <v>70685.83470577035</v>
      </c>
      <c r="M83">
        <v>1.34</v>
      </c>
      <c r="N83">
        <v>27.1</v>
      </c>
      <c r="O83">
        <v>16</v>
      </c>
      <c r="P83">
        <v>515</v>
      </c>
      <c r="Q83">
        <v>204</v>
      </c>
      <c r="R83">
        <v>0.59199999999999997</v>
      </c>
      <c r="T83" s="4"/>
      <c r="U83" s="3"/>
      <c r="V83" s="3"/>
      <c r="X83" s="5"/>
      <c r="Y83" s="6"/>
      <c r="Z83" s="6"/>
      <c r="AA83" s="3"/>
      <c r="AB83" s="3"/>
      <c r="AE83" s="3"/>
    </row>
    <row r="84" spans="1:31" x14ac:dyDescent="0.35">
      <c r="A84">
        <v>83</v>
      </c>
      <c r="B84">
        <v>0</v>
      </c>
      <c r="C84" t="s">
        <v>102</v>
      </c>
      <c r="D84" t="s">
        <v>21</v>
      </c>
      <c r="E84" t="s">
        <v>21</v>
      </c>
      <c r="F84" s="1">
        <v>1.68</v>
      </c>
      <c r="G84">
        <v>143</v>
      </c>
      <c r="H84">
        <v>113</v>
      </c>
      <c r="I84" t="s">
        <v>21</v>
      </c>
      <c r="J84">
        <v>210</v>
      </c>
      <c r="K84" t="s">
        <v>22</v>
      </c>
      <c r="L84">
        <f t="shared" si="1"/>
        <v>34636.059005827468</v>
      </c>
      <c r="M84">
        <v>0.87</v>
      </c>
      <c r="N84">
        <v>28.1</v>
      </c>
      <c r="O84">
        <v>32</v>
      </c>
      <c r="P84">
        <v>450</v>
      </c>
      <c r="Q84" t="s">
        <v>22</v>
      </c>
      <c r="R84">
        <v>0.28000000000000003</v>
      </c>
      <c r="T84" s="4"/>
      <c r="U84" s="3"/>
      <c r="V84" s="3"/>
      <c r="X84" s="5"/>
      <c r="Y84" s="6"/>
      <c r="Z84" s="6"/>
      <c r="AA84" s="3"/>
      <c r="AB84" s="3"/>
      <c r="AE84" s="3"/>
    </row>
    <row r="85" spans="1:31" x14ac:dyDescent="0.35">
      <c r="A85">
        <v>84</v>
      </c>
      <c r="B85">
        <v>3</v>
      </c>
      <c r="C85" t="s">
        <v>102</v>
      </c>
      <c r="D85" t="s">
        <v>21</v>
      </c>
      <c r="E85" t="s">
        <v>21</v>
      </c>
      <c r="F85" s="1">
        <v>1.68</v>
      </c>
      <c r="G85">
        <v>200</v>
      </c>
      <c r="H85">
        <v>170</v>
      </c>
      <c r="I85" t="s">
        <v>21</v>
      </c>
      <c r="J85">
        <v>210</v>
      </c>
      <c r="K85" t="s">
        <v>22</v>
      </c>
      <c r="L85">
        <f t="shared" si="1"/>
        <v>34636.059005827468</v>
      </c>
      <c r="M85">
        <v>0.57999999999999996</v>
      </c>
      <c r="N85">
        <v>21.3</v>
      </c>
      <c r="O85">
        <v>32</v>
      </c>
      <c r="P85">
        <v>450</v>
      </c>
      <c r="Q85" t="s">
        <v>22</v>
      </c>
      <c r="R85">
        <v>0.48</v>
      </c>
      <c r="T85" s="4"/>
      <c r="U85" s="3"/>
      <c r="V85" s="3"/>
      <c r="X85" s="5"/>
      <c r="Y85" s="6"/>
      <c r="Z85" s="6"/>
      <c r="AA85" s="3"/>
      <c r="AB85" s="3"/>
      <c r="AE85" s="3"/>
    </row>
    <row r="86" spans="1:31" x14ac:dyDescent="0.35">
      <c r="A86">
        <v>85</v>
      </c>
      <c r="B86" t="s">
        <v>103</v>
      </c>
      <c r="C86" t="s">
        <v>104</v>
      </c>
      <c r="D86" t="s">
        <v>21</v>
      </c>
      <c r="E86" t="s">
        <v>21</v>
      </c>
      <c r="F86" s="1">
        <v>1.056</v>
      </c>
      <c r="G86">
        <v>110</v>
      </c>
      <c r="H86">
        <v>80</v>
      </c>
      <c r="I86" t="s">
        <v>21</v>
      </c>
      <c r="J86">
        <v>100</v>
      </c>
      <c r="K86" t="s">
        <v>22</v>
      </c>
      <c r="L86">
        <f t="shared" si="1"/>
        <v>7853.981633974483</v>
      </c>
      <c r="M86">
        <v>1.81</v>
      </c>
      <c r="N86">
        <v>39.5</v>
      </c>
      <c r="O86">
        <v>16</v>
      </c>
      <c r="P86">
        <v>550</v>
      </c>
      <c r="Q86">
        <v>217</v>
      </c>
      <c r="R86">
        <v>0.183</v>
      </c>
      <c r="T86" s="4"/>
      <c r="U86" s="3"/>
      <c r="V86" s="3"/>
      <c r="X86" s="5"/>
      <c r="Y86" s="6"/>
      <c r="Z86" s="6"/>
      <c r="AA86" s="3"/>
      <c r="AB86" s="3"/>
      <c r="AE86" s="3"/>
    </row>
    <row r="87" spans="1:31" x14ac:dyDescent="0.35">
      <c r="A87">
        <v>86</v>
      </c>
      <c r="B87" t="s">
        <v>105</v>
      </c>
      <c r="C87" t="s">
        <v>104</v>
      </c>
      <c r="D87" t="s">
        <v>21</v>
      </c>
      <c r="E87" t="s">
        <v>21</v>
      </c>
      <c r="F87" s="1">
        <v>1.056</v>
      </c>
      <c r="G87">
        <v>110</v>
      </c>
      <c r="H87">
        <v>80</v>
      </c>
      <c r="I87" t="s">
        <v>21</v>
      </c>
      <c r="J87">
        <v>240</v>
      </c>
      <c r="K87" t="s">
        <v>22</v>
      </c>
      <c r="L87">
        <f t="shared" si="1"/>
        <v>45238.93421169302</v>
      </c>
      <c r="M87">
        <v>1.81</v>
      </c>
      <c r="N87">
        <v>44.1</v>
      </c>
      <c r="O87">
        <v>16</v>
      </c>
      <c r="P87">
        <v>550</v>
      </c>
      <c r="Q87">
        <v>217</v>
      </c>
      <c r="R87">
        <v>0.28100000000000003</v>
      </c>
      <c r="T87" s="4"/>
      <c r="U87" s="3"/>
      <c r="V87" s="3"/>
      <c r="X87" s="5"/>
      <c r="Y87" s="6"/>
      <c r="Z87" s="6"/>
      <c r="AA87" s="3"/>
      <c r="AB87" s="3"/>
      <c r="AE87" s="3"/>
    </row>
    <row r="88" spans="1:31" x14ac:dyDescent="0.35">
      <c r="A88">
        <v>87</v>
      </c>
      <c r="B88" t="s">
        <v>106</v>
      </c>
      <c r="C88" t="s">
        <v>104</v>
      </c>
      <c r="D88" t="s">
        <v>21</v>
      </c>
      <c r="E88" t="s">
        <v>21</v>
      </c>
      <c r="F88" s="1">
        <v>1.056</v>
      </c>
      <c r="G88">
        <v>110</v>
      </c>
      <c r="H88">
        <v>80</v>
      </c>
      <c r="I88" t="s">
        <v>21</v>
      </c>
      <c r="J88">
        <v>200</v>
      </c>
      <c r="K88" t="s">
        <v>22</v>
      </c>
      <c r="L88">
        <f t="shared" si="1"/>
        <v>31415.926535897932</v>
      </c>
      <c r="M88">
        <v>1.81</v>
      </c>
      <c r="N88">
        <v>42.1</v>
      </c>
      <c r="O88">
        <v>16</v>
      </c>
      <c r="P88">
        <v>550</v>
      </c>
      <c r="Q88">
        <v>217</v>
      </c>
      <c r="R88">
        <v>0.28799999999999998</v>
      </c>
      <c r="T88" s="4"/>
      <c r="U88" s="3"/>
      <c r="V88" s="3"/>
      <c r="X88" s="5"/>
      <c r="Y88" s="6"/>
      <c r="Z88" s="6"/>
      <c r="AA88" s="3"/>
      <c r="AB88" s="3"/>
      <c r="AE88" s="3"/>
    </row>
    <row r="89" spans="1:31" x14ac:dyDescent="0.35">
      <c r="A89">
        <v>88</v>
      </c>
      <c r="B89" t="s">
        <v>107</v>
      </c>
      <c r="C89" t="s">
        <v>104</v>
      </c>
      <c r="D89" t="s">
        <v>21</v>
      </c>
      <c r="E89" t="s">
        <v>21</v>
      </c>
      <c r="F89" s="1">
        <v>1.056</v>
      </c>
      <c r="G89">
        <v>110</v>
      </c>
      <c r="H89">
        <v>80</v>
      </c>
      <c r="I89" t="s">
        <v>21</v>
      </c>
      <c r="J89">
        <v>320</v>
      </c>
      <c r="K89" t="s">
        <v>22</v>
      </c>
      <c r="L89">
        <f t="shared" si="1"/>
        <v>80424.771931898707</v>
      </c>
      <c r="M89">
        <v>1.81</v>
      </c>
      <c r="N89">
        <v>40</v>
      </c>
      <c r="O89">
        <v>16</v>
      </c>
      <c r="P89">
        <v>550</v>
      </c>
      <c r="Q89">
        <v>217</v>
      </c>
      <c r="R89">
        <v>0.32400000000000001</v>
      </c>
      <c r="T89" s="4"/>
      <c r="U89" s="3"/>
      <c r="V89" s="3"/>
      <c r="X89" s="5"/>
      <c r="Y89" s="6"/>
      <c r="Z89" s="6"/>
      <c r="AA89" s="3"/>
      <c r="AB89" s="3"/>
      <c r="AE89" s="3"/>
    </row>
    <row r="90" spans="1:31" x14ac:dyDescent="0.35">
      <c r="A90">
        <v>89</v>
      </c>
      <c r="B90" t="s">
        <v>108</v>
      </c>
      <c r="C90" t="s">
        <v>109</v>
      </c>
      <c r="D90" t="s">
        <v>21</v>
      </c>
      <c r="E90" t="s">
        <v>21</v>
      </c>
      <c r="F90" s="1">
        <v>2.65</v>
      </c>
      <c r="G90">
        <v>280</v>
      </c>
      <c r="H90">
        <v>240</v>
      </c>
      <c r="I90" t="s">
        <v>21</v>
      </c>
      <c r="J90">
        <v>500</v>
      </c>
      <c r="K90" t="s">
        <v>22</v>
      </c>
      <c r="L90">
        <f t="shared" si="1"/>
        <v>196349.54084936206</v>
      </c>
      <c r="M90">
        <v>1.32</v>
      </c>
      <c r="N90">
        <v>27</v>
      </c>
      <c r="O90">
        <v>32</v>
      </c>
      <c r="P90">
        <v>544</v>
      </c>
      <c r="Q90" t="s">
        <v>22</v>
      </c>
      <c r="R90">
        <v>1.661</v>
      </c>
      <c r="T90" s="4"/>
      <c r="U90" s="3"/>
      <c r="V90" s="3"/>
      <c r="X90" s="5"/>
      <c r="Y90" s="6"/>
      <c r="Z90" s="6"/>
      <c r="AA90" s="3"/>
      <c r="AB90" s="3"/>
      <c r="AE90" s="3"/>
    </row>
    <row r="91" spans="1:31" x14ac:dyDescent="0.35">
      <c r="A91">
        <v>90</v>
      </c>
      <c r="B91" t="s">
        <v>110</v>
      </c>
      <c r="C91" t="s">
        <v>109</v>
      </c>
      <c r="D91" t="s">
        <v>21</v>
      </c>
      <c r="E91" t="s">
        <v>21</v>
      </c>
      <c r="F91" s="1">
        <v>1.2</v>
      </c>
      <c r="G91">
        <v>127</v>
      </c>
      <c r="H91">
        <v>109</v>
      </c>
      <c r="I91" t="s">
        <v>21</v>
      </c>
      <c r="J91">
        <v>226</v>
      </c>
      <c r="K91" t="s">
        <v>22</v>
      </c>
      <c r="L91">
        <f t="shared" si="1"/>
        <v>40114.996593688069</v>
      </c>
      <c r="M91">
        <v>1.31</v>
      </c>
      <c r="N91">
        <v>30.7</v>
      </c>
      <c r="O91">
        <v>32</v>
      </c>
      <c r="P91">
        <v>540</v>
      </c>
      <c r="Q91" t="s">
        <v>22</v>
      </c>
      <c r="R91">
        <v>0.36199999999999999</v>
      </c>
      <c r="T91" s="4"/>
      <c r="U91" s="3"/>
      <c r="V91" s="3"/>
      <c r="X91" s="5"/>
      <c r="Y91" s="6"/>
      <c r="Z91" s="6"/>
      <c r="AA91" s="3"/>
      <c r="AB91" s="3"/>
      <c r="AE91" s="3"/>
    </row>
    <row r="92" spans="1:31" x14ac:dyDescent="0.35">
      <c r="A92">
        <v>91</v>
      </c>
      <c r="B92" t="s">
        <v>111</v>
      </c>
      <c r="C92" t="s">
        <v>112</v>
      </c>
      <c r="D92" t="s">
        <v>31</v>
      </c>
      <c r="E92" t="s">
        <v>32</v>
      </c>
      <c r="F92" s="1">
        <v>1.829</v>
      </c>
      <c r="G92">
        <v>146</v>
      </c>
      <c r="H92">
        <v>110</v>
      </c>
      <c r="I92" t="s">
        <v>32</v>
      </c>
      <c r="J92">
        <v>254</v>
      </c>
      <c r="K92" t="s">
        <v>22</v>
      </c>
      <c r="L92">
        <f t="shared" si="1"/>
        <v>64516</v>
      </c>
      <c r="M92">
        <v>1.5</v>
      </c>
      <c r="N92">
        <v>18.100000000000001</v>
      </c>
      <c r="O92" t="s">
        <v>22</v>
      </c>
      <c r="P92">
        <v>404</v>
      </c>
      <c r="Q92" t="s">
        <v>22</v>
      </c>
      <c r="R92">
        <v>0.33400000000000002</v>
      </c>
      <c r="T92" s="4"/>
      <c r="U92" s="3"/>
      <c r="V92" s="3"/>
      <c r="X92" s="5"/>
      <c r="Y92" s="6"/>
      <c r="Z92" s="6"/>
      <c r="AA92" s="3"/>
      <c r="AB92" s="3"/>
      <c r="AE92" s="3"/>
    </row>
    <row r="93" spans="1:31" x14ac:dyDescent="0.35">
      <c r="A93">
        <v>92</v>
      </c>
      <c r="B93" t="s">
        <v>113</v>
      </c>
      <c r="C93" t="s">
        <v>112</v>
      </c>
      <c r="D93" t="s">
        <v>31</v>
      </c>
      <c r="E93" t="s">
        <v>32</v>
      </c>
      <c r="F93" s="1">
        <v>1.829</v>
      </c>
      <c r="G93">
        <v>146</v>
      </c>
      <c r="H93">
        <v>110</v>
      </c>
      <c r="I93" t="s">
        <v>32</v>
      </c>
      <c r="J93">
        <v>203</v>
      </c>
      <c r="K93" t="s">
        <v>22</v>
      </c>
      <c r="L93">
        <f t="shared" si="1"/>
        <v>41209</v>
      </c>
      <c r="M93">
        <v>1</v>
      </c>
      <c r="N93">
        <v>19.5</v>
      </c>
      <c r="O93" t="s">
        <v>22</v>
      </c>
      <c r="P93">
        <v>444</v>
      </c>
      <c r="Q93" t="s">
        <v>22</v>
      </c>
      <c r="R93">
        <v>0.26600000000000001</v>
      </c>
      <c r="T93" s="4"/>
      <c r="U93" s="3"/>
      <c r="V93" s="3"/>
      <c r="X93" s="5"/>
      <c r="Y93" s="6"/>
      <c r="Z93" s="6"/>
      <c r="AA93" s="3"/>
      <c r="AB93" s="3"/>
      <c r="AE93" s="3"/>
    </row>
    <row r="94" spans="1:31" x14ac:dyDescent="0.35">
      <c r="A94">
        <v>93</v>
      </c>
      <c r="B94" t="s">
        <v>114</v>
      </c>
      <c r="C94" t="s">
        <v>115</v>
      </c>
      <c r="D94" t="s">
        <v>48</v>
      </c>
      <c r="E94" t="s">
        <v>32</v>
      </c>
      <c r="F94" s="1">
        <v>3</v>
      </c>
      <c r="G94">
        <v>125</v>
      </c>
      <c r="H94">
        <v>107</v>
      </c>
      <c r="I94" t="s">
        <v>32</v>
      </c>
      <c r="J94">
        <v>100</v>
      </c>
      <c r="K94" t="s">
        <v>22</v>
      </c>
      <c r="L94">
        <f t="shared" si="1"/>
        <v>10000</v>
      </c>
      <c r="M94">
        <v>1.07</v>
      </c>
      <c r="N94">
        <v>24.8</v>
      </c>
      <c r="O94" t="s">
        <v>22</v>
      </c>
      <c r="P94">
        <v>310</v>
      </c>
      <c r="Q94" t="s">
        <v>22</v>
      </c>
      <c r="R94">
        <v>0.216</v>
      </c>
      <c r="T94" s="4"/>
      <c r="U94" s="3"/>
      <c r="V94" s="3"/>
      <c r="X94" s="5"/>
      <c r="Y94" s="6"/>
      <c r="Z94" s="6"/>
      <c r="AA94" s="3"/>
      <c r="AB94" s="3"/>
      <c r="AE94" s="3"/>
    </row>
    <row r="95" spans="1:31" x14ac:dyDescent="0.35">
      <c r="A95">
        <v>94</v>
      </c>
      <c r="B95" t="s">
        <v>116</v>
      </c>
      <c r="C95" t="s">
        <v>115</v>
      </c>
      <c r="D95" t="s">
        <v>48</v>
      </c>
      <c r="E95" t="s">
        <v>32</v>
      </c>
      <c r="F95" s="1">
        <v>3</v>
      </c>
      <c r="G95">
        <v>125</v>
      </c>
      <c r="H95">
        <v>107</v>
      </c>
      <c r="I95" t="s">
        <v>32</v>
      </c>
      <c r="J95">
        <v>100</v>
      </c>
      <c r="K95" t="s">
        <v>22</v>
      </c>
      <c r="L95">
        <f t="shared" si="1"/>
        <v>10000</v>
      </c>
      <c r="M95">
        <v>1.07</v>
      </c>
      <c r="N95">
        <v>38.4</v>
      </c>
      <c r="O95" t="s">
        <v>22</v>
      </c>
      <c r="P95">
        <v>330</v>
      </c>
      <c r="Q95" t="s">
        <v>22</v>
      </c>
      <c r="R95">
        <v>0.184</v>
      </c>
      <c r="T95" s="4"/>
      <c r="U95" s="3"/>
      <c r="V95" s="3"/>
      <c r="X95" s="5"/>
      <c r="Y95" s="6"/>
      <c r="Z95" s="6"/>
      <c r="AA95" s="3"/>
      <c r="AB95" s="3"/>
      <c r="AE95" s="3"/>
    </row>
    <row r="96" spans="1:31" x14ac:dyDescent="0.35">
      <c r="A96">
        <v>95</v>
      </c>
      <c r="B96" t="s">
        <v>117</v>
      </c>
      <c r="C96" t="s">
        <v>115</v>
      </c>
      <c r="D96" t="s">
        <v>48</v>
      </c>
      <c r="E96" t="s">
        <v>32</v>
      </c>
      <c r="F96" s="1">
        <v>3</v>
      </c>
      <c r="G96">
        <v>125</v>
      </c>
      <c r="H96">
        <v>107</v>
      </c>
      <c r="I96" t="s">
        <v>32</v>
      </c>
      <c r="J96">
        <v>100</v>
      </c>
      <c r="K96" t="s">
        <v>22</v>
      </c>
      <c r="L96">
        <f t="shared" si="1"/>
        <v>10000</v>
      </c>
      <c r="M96">
        <v>1.07</v>
      </c>
      <c r="N96">
        <v>23.4</v>
      </c>
      <c r="O96" t="s">
        <v>22</v>
      </c>
      <c r="P96">
        <v>330</v>
      </c>
      <c r="Q96" t="s">
        <v>22</v>
      </c>
      <c r="R96">
        <v>0.19600000000000001</v>
      </c>
      <c r="T96" s="4"/>
      <c r="U96" s="3"/>
      <c r="V96" s="3"/>
      <c r="X96" s="5"/>
      <c r="Y96" s="6"/>
      <c r="Z96" s="6"/>
      <c r="AA96" s="3"/>
      <c r="AB96" s="3"/>
      <c r="AE96" s="3"/>
    </row>
    <row r="97" spans="1:31" x14ac:dyDescent="0.35">
      <c r="A97">
        <v>96</v>
      </c>
      <c r="B97" t="s">
        <v>118</v>
      </c>
      <c r="C97" t="s">
        <v>115</v>
      </c>
      <c r="D97" t="s">
        <v>48</v>
      </c>
      <c r="E97" t="s">
        <v>32</v>
      </c>
      <c r="F97" s="1">
        <v>3</v>
      </c>
      <c r="G97">
        <v>125</v>
      </c>
      <c r="H97">
        <v>107</v>
      </c>
      <c r="I97" t="s">
        <v>32</v>
      </c>
      <c r="J97">
        <v>250</v>
      </c>
      <c r="K97" t="s">
        <v>22</v>
      </c>
      <c r="L97">
        <f t="shared" si="1"/>
        <v>62500</v>
      </c>
      <c r="M97">
        <v>1.07</v>
      </c>
      <c r="N97">
        <v>32.1</v>
      </c>
      <c r="O97" t="s">
        <v>22</v>
      </c>
      <c r="P97">
        <v>330</v>
      </c>
      <c r="Q97" t="s">
        <v>22</v>
      </c>
      <c r="R97">
        <v>0.28299999999999997</v>
      </c>
      <c r="T97" s="4"/>
      <c r="U97" s="3"/>
      <c r="V97" s="3"/>
      <c r="X97" s="5"/>
      <c r="Y97" s="6"/>
      <c r="Z97" s="6"/>
      <c r="AA97" s="3"/>
      <c r="AB97" s="3"/>
      <c r="AE97" s="3"/>
    </row>
    <row r="98" spans="1:31" x14ac:dyDescent="0.35">
      <c r="A98">
        <v>97</v>
      </c>
      <c r="B98" t="s">
        <v>119</v>
      </c>
      <c r="C98" t="s">
        <v>115</v>
      </c>
      <c r="D98" t="s">
        <v>48</v>
      </c>
      <c r="E98" t="s">
        <v>32</v>
      </c>
      <c r="F98" s="1">
        <v>3</v>
      </c>
      <c r="G98">
        <v>125</v>
      </c>
      <c r="H98">
        <v>107</v>
      </c>
      <c r="I98" t="s">
        <v>32</v>
      </c>
      <c r="J98">
        <v>100</v>
      </c>
      <c r="K98" t="s">
        <v>22</v>
      </c>
      <c r="L98">
        <f t="shared" si="1"/>
        <v>10000</v>
      </c>
      <c r="M98">
        <v>1.43</v>
      </c>
      <c r="N98">
        <v>34.700000000000003</v>
      </c>
      <c r="O98" t="s">
        <v>22</v>
      </c>
      <c r="P98">
        <v>330</v>
      </c>
      <c r="Q98" t="s">
        <v>22</v>
      </c>
      <c r="R98">
        <v>0.21099999999999999</v>
      </c>
      <c r="T98" s="4"/>
      <c r="U98" s="3"/>
      <c r="V98" s="3"/>
      <c r="X98" s="5"/>
      <c r="Y98" s="6"/>
      <c r="Z98" s="6"/>
      <c r="AA98" s="3"/>
      <c r="AB98" s="3"/>
      <c r="AE98" s="3"/>
    </row>
    <row r="99" spans="1:31" x14ac:dyDescent="0.35">
      <c r="A99">
        <v>98</v>
      </c>
      <c r="B99" t="s">
        <v>120</v>
      </c>
      <c r="C99" t="s">
        <v>121</v>
      </c>
      <c r="D99" t="s">
        <v>48</v>
      </c>
      <c r="E99" t="s">
        <v>32</v>
      </c>
      <c r="F99" s="1">
        <v>1.78</v>
      </c>
      <c r="G99">
        <v>152</v>
      </c>
      <c r="H99">
        <v>114</v>
      </c>
      <c r="I99" t="s">
        <v>32</v>
      </c>
      <c r="J99">
        <v>254</v>
      </c>
      <c r="K99" t="s">
        <v>22</v>
      </c>
      <c r="L99">
        <f t="shared" si="1"/>
        <v>64516</v>
      </c>
      <c r="M99">
        <v>1.06</v>
      </c>
      <c r="N99">
        <v>23.3</v>
      </c>
      <c r="O99">
        <v>38</v>
      </c>
      <c r="P99">
        <v>399</v>
      </c>
      <c r="Q99">
        <v>179</v>
      </c>
      <c r="R99">
        <v>0.38900000000000001</v>
      </c>
      <c r="T99" s="4"/>
      <c r="U99" s="3"/>
      <c r="V99" s="3"/>
      <c r="X99" s="5"/>
      <c r="Y99" s="6"/>
      <c r="Z99" s="6"/>
      <c r="AA99" s="3"/>
      <c r="AB99" s="3"/>
      <c r="AE99" s="3"/>
    </row>
    <row r="100" spans="1:31" x14ac:dyDescent="0.35">
      <c r="A100">
        <v>99</v>
      </c>
      <c r="B100" t="s">
        <v>122</v>
      </c>
      <c r="C100" t="s">
        <v>121</v>
      </c>
      <c r="D100" t="s">
        <v>48</v>
      </c>
      <c r="E100" t="s">
        <v>32</v>
      </c>
      <c r="F100" s="1">
        <v>1.78</v>
      </c>
      <c r="G100">
        <v>152</v>
      </c>
      <c r="H100">
        <v>114</v>
      </c>
      <c r="I100" t="s">
        <v>32</v>
      </c>
      <c r="J100">
        <v>254</v>
      </c>
      <c r="K100" t="s">
        <v>22</v>
      </c>
      <c r="L100">
        <f t="shared" si="1"/>
        <v>64516</v>
      </c>
      <c r="M100">
        <v>1.06</v>
      </c>
      <c r="N100">
        <v>24.5</v>
      </c>
      <c r="O100">
        <v>38</v>
      </c>
      <c r="P100">
        <v>483</v>
      </c>
      <c r="Q100">
        <v>172</v>
      </c>
      <c r="R100">
        <v>0.39200000000000002</v>
      </c>
      <c r="T100" s="4"/>
      <c r="U100" s="3"/>
      <c r="V100" s="3"/>
      <c r="X100" s="5"/>
      <c r="Y100" s="6"/>
      <c r="Z100" s="6"/>
      <c r="AA100" s="3"/>
      <c r="AB100" s="3"/>
      <c r="AE100" s="3"/>
    </row>
    <row r="101" spans="1:31" x14ac:dyDescent="0.35">
      <c r="A101">
        <v>100</v>
      </c>
      <c r="B101" t="s">
        <v>123</v>
      </c>
      <c r="C101" t="s">
        <v>121</v>
      </c>
      <c r="D101" t="s">
        <v>48</v>
      </c>
      <c r="E101" t="s">
        <v>32</v>
      </c>
      <c r="F101" s="1">
        <v>1.78</v>
      </c>
      <c r="G101">
        <v>152</v>
      </c>
      <c r="H101">
        <v>114</v>
      </c>
      <c r="I101" t="s">
        <v>32</v>
      </c>
      <c r="J101">
        <v>203</v>
      </c>
      <c r="K101" t="s">
        <v>22</v>
      </c>
      <c r="L101">
        <f t="shared" si="1"/>
        <v>41209</v>
      </c>
      <c r="M101">
        <v>1.06</v>
      </c>
      <c r="N101">
        <v>22.2</v>
      </c>
      <c r="O101">
        <v>38</v>
      </c>
      <c r="P101">
        <v>399</v>
      </c>
      <c r="Q101">
        <v>179</v>
      </c>
      <c r="R101">
        <v>0.34300000000000003</v>
      </c>
      <c r="T101" s="4"/>
      <c r="U101" s="3"/>
      <c r="V101" s="3"/>
      <c r="X101" s="5"/>
      <c r="Y101" s="6"/>
      <c r="Z101" s="6"/>
      <c r="AA101" s="3"/>
      <c r="AB101" s="3"/>
      <c r="AE101" s="3"/>
    </row>
    <row r="102" spans="1:31" x14ac:dyDescent="0.35">
      <c r="A102">
        <v>101</v>
      </c>
      <c r="B102" t="s">
        <v>124</v>
      </c>
      <c r="C102" t="s">
        <v>121</v>
      </c>
      <c r="D102" t="s">
        <v>48</v>
      </c>
      <c r="E102" t="s">
        <v>32</v>
      </c>
      <c r="F102" s="1">
        <v>1.78</v>
      </c>
      <c r="G102">
        <v>152</v>
      </c>
      <c r="H102">
        <v>114</v>
      </c>
      <c r="I102" t="s">
        <v>32</v>
      </c>
      <c r="J102">
        <v>203</v>
      </c>
      <c r="K102" t="s">
        <v>22</v>
      </c>
      <c r="L102">
        <f t="shared" si="1"/>
        <v>41209</v>
      </c>
      <c r="M102">
        <v>1.06</v>
      </c>
      <c r="N102">
        <v>23</v>
      </c>
      <c r="O102">
        <v>38</v>
      </c>
      <c r="P102">
        <v>483</v>
      </c>
      <c r="Q102">
        <v>172</v>
      </c>
      <c r="R102">
        <v>0.378</v>
      </c>
      <c r="T102" s="4"/>
      <c r="U102" s="3"/>
      <c r="V102" s="3"/>
      <c r="X102" s="5"/>
      <c r="Y102" s="6"/>
      <c r="Z102" s="6"/>
      <c r="AA102" s="3"/>
      <c r="AB102" s="3"/>
      <c r="AE102" s="3"/>
    </row>
    <row r="103" spans="1:31" x14ac:dyDescent="0.35">
      <c r="A103">
        <v>102</v>
      </c>
      <c r="B103" t="s">
        <v>125</v>
      </c>
      <c r="C103" t="s">
        <v>121</v>
      </c>
      <c r="D103" t="s">
        <v>48</v>
      </c>
      <c r="E103" t="s">
        <v>32</v>
      </c>
      <c r="F103" s="1">
        <v>1.78</v>
      </c>
      <c r="G103">
        <v>152</v>
      </c>
      <c r="H103">
        <v>114</v>
      </c>
      <c r="I103" t="s">
        <v>126</v>
      </c>
      <c r="J103">
        <v>152</v>
      </c>
      <c r="K103">
        <v>457</v>
      </c>
      <c r="L103">
        <f t="shared" si="1"/>
        <v>69464</v>
      </c>
      <c r="M103">
        <v>1.38</v>
      </c>
      <c r="N103">
        <v>27.6</v>
      </c>
      <c r="O103">
        <v>10</v>
      </c>
      <c r="P103">
        <v>328</v>
      </c>
      <c r="Q103">
        <v>196</v>
      </c>
      <c r="R103">
        <v>0.39400000000000002</v>
      </c>
      <c r="T103" s="4"/>
      <c r="U103" s="3"/>
      <c r="V103" s="3"/>
      <c r="X103" s="5"/>
      <c r="Y103" s="6"/>
      <c r="Z103" s="6"/>
      <c r="AA103" s="3"/>
      <c r="AB103" s="3"/>
      <c r="AE103" s="3"/>
    </row>
    <row r="104" spans="1:31" x14ac:dyDescent="0.35">
      <c r="A104">
        <v>103</v>
      </c>
      <c r="B104" t="s">
        <v>127</v>
      </c>
      <c r="C104" t="s">
        <v>121</v>
      </c>
      <c r="D104" t="s">
        <v>48</v>
      </c>
      <c r="E104" t="s">
        <v>32</v>
      </c>
      <c r="F104" s="1">
        <v>1.78</v>
      </c>
      <c r="G104">
        <v>152</v>
      </c>
      <c r="H104">
        <v>114</v>
      </c>
      <c r="I104" t="s">
        <v>32</v>
      </c>
      <c r="J104">
        <v>152</v>
      </c>
      <c r="K104" t="s">
        <v>22</v>
      </c>
      <c r="L104">
        <f t="shared" si="1"/>
        <v>23104</v>
      </c>
      <c r="M104">
        <v>1.38</v>
      </c>
      <c r="N104">
        <v>26.5</v>
      </c>
      <c r="O104">
        <v>10</v>
      </c>
      <c r="P104">
        <v>328</v>
      </c>
      <c r="Q104">
        <v>196</v>
      </c>
      <c r="R104">
        <v>0.311</v>
      </c>
      <c r="T104" s="4"/>
      <c r="U104" s="3"/>
      <c r="V104" s="3"/>
      <c r="X104" s="5"/>
      <c r="Y104" s="6"/>
      <c r="Z104" s="6"/>
      <c r="AA104" s="3"/>
      <c r="AB104" s="3"/>
      <c r="AE104" s="3"/>
    </row>
    <row r="105" spans="1:31" x14ac:dyDescent="0.35">
      <c r="A105">
        <v>104</v>
      </c>
      <c r="B105" t="s">
        <v>128</v>
      </c>
      <c r="C105" t="s">
        <v>121</v>
      </c>
      <c r="D105" t="s">
        <v>48</v>
      </c>
      <c r="E105" t="s">
        <v>32</v>
      </c>
      <c r="F105" s="1">
        <v>1.78</v>
      </c>
      <c r="G105">
        <v>152</v>
      </c>
      <c r="H105">
        <v>114</v>
      </c>
      <c r="I105" t="s">
        <v>32</v>
      </c>
      <c r="J105">
        <v>254</v>
      </c>
      <c r="K105" t="s">
        <v>22</v>
      </c>
      <c r="L105">
        <f t="shared" si="1"/>
        <v>64516</v>
      </c>
      <c r="M105">
        <v>1.1499999999999999</v>
      </c>
      <c r="N105">
        <v>26.1</v>
      </c>
      <c r="O105">
        <v>38</v>
      </c>
      <c r="P105">
        <v>328</v>
      </c>
      <c r="Q105">
        <v>196</v>
      </c>
      <c r="R105">
        <v>0.371</v>
      </c>
      <c r="T105" s="4"/>
      <c r="U105" s="3"/>
      <c r="V105" s="3"/>
      <c r="X105" s="5"/>
      <c r="Y105" s="6"/>
      <c r="Z105" s="6"/>
      <c r="AA105" s="3"/>
      <c r="AB105" s="3"/>
      <c r="AE105" s="3"/>
    </row>
    <row r="106" spans="1:31" x14ac:dyDescent="0.35">
      <c r="A106">
        <v>105</v>
      </c>
      <c r="B106" t="s">
        <v>129</v>
      </c>
      <c r="C106" t="s">
        <v>121</v>
      </c>
      <c r="D106" t="s">
        <v>48</v>
      </c>
      <c r="E106" t="s">
        <v>32</v>
      </c>
      <c r="F106" s="1">
        <v>1.78</v>
      </c>
      <c r="G106">
        <v>152</v>
      </c>
      <c r="H106">
        <v>114</v>
      </c>
      <c r="I106" t="s">
        <v>32</v>
      </c>
      <c r="J106">
        <v>305</v>
      </c>
      <c r="K106" t="s">
        <v>22</v>
      </c>
      <c r="L106">
        <f t="shared" si="1"/>
        <v>93025</v>
      </c>
      <c r="M106">
        <v>1.5</v>
      </c>
      <c r="N106">
        <v>20.8</v>
      </c>
      <c r="O106">
        <v>38</v>
      </c>
      <c r="P106">
        <v>481</v>
      </c>
      <c r="Q106">
        <v>196</v>
      </c>
      <c r="R106">
        <v>0.433</v>
      </c>
      <c r="T106" s="4"/>
      <c r="U106" s="3"/>
      <c r="V106" s="3"/>
      <c r="X106" s="5"/>
      <c r="Y106" s="6"/>
      <c r="Z106" s="6"/>
      <c r="AA106" s="3"/>
      <c r="AB106" s="3"/>
      <c r="AE106" s="3"/>
    </row>
    <row r="107" spans="1:31" x14ac:dyDescent="0.35">
      <c r="A107">
        <v>106</v>
      </c>
      <c r="B107" t="s">
        <v>130</v>
      </c>
      <c r="C107" t="s">
        <v>131</v>
      </c>
      <c r="D107" t="s">
        <v>21</v>
      </c>
      <c r="E107" t="s">
        <v>21</v>
      </c>
      <c r="F107" s="1">
        <v>1.71</v>
      </c>
      <c r="G107">
        <v>149</v>
      </c>
      <c r="H107">
        <v>117</v>
      </c>
      <c r="I107" t="s">
        <v>21</v>
      </c>
      <c r="J107">
        <v>150</v>
      </c>
      <c r="K107" t="s">
        <v>22</v>
      </c>
      <c r="L107">
        <f t="shared" si="1"/>
        <v>17671.458676442588</v>
      </c>
      <c r="M107">
        <v>0.8</v>
      </c>
      <c r="N107">
        <v>25.5</v>
      </c>
      <c r="O107">
        <v>32</v>
      </c>
      <c r="P107">
        <v>441</v>
      </c>
      <c r="Q107">
        <v>210</v>
      </c>
      <c r="R107">
        <v>0.255</v>
      </c>
      <c r="T107" s="4"/>
      <c r="U107" s="3"/>
      <c r="V107" s="3"/>
      <c r="X107" s="5"/>
      <c r="Y107" s="6"/>
      <c r="Z107" s="6"/>
      <c r="AA107" s="3"/>
      <c r="AB107" s="3"/>
      <c r="AE107" s="3"/>
    </row>
    <row r="108" spans="1:31" x14ac:dyDescent="0.35">
      <c r="A108">
        <v>107</v>
      </c>
      <c r="B108" t="s">
        <v>132</v>
      </c>
      <c r="C108" t="s">
        <v>131</v>
      </c>
      <c r="D108" t="s">
        <v>21</v>
      </c>
      <c r="E108" t="s">
        <v>21</v>
      </c>
      <c r="F108" s="1">
        <v>1.71</v>
      </c>
      <c r="G108">
        <v>151</v>
      </c>
      <c r="H108">
        <v>118</v>
      </c>
      <c r="I108" t="s">
        <v>21</v>
      </c>
      <c r="J108">
        <v>150</v>
      </c>
      <c r="K108" t="s">
        <v>22</v>
      </c>
      <c r="L108">
        <f t="shared" si="1"/>
        <v>17671.458676442588</v>
      </c>
      <c r="M108">
        <v>0.79</v>
      </c>
      <c r="N108">
        <v>24.9</v>
      </c>
      <c r="O108">
        <v>32</v>
      </c>
      <c r="P108">
        <v>454</v>
      </c>
      <c r="Q108">
        <v>210</v>
      </c>
      <c r="R108">
        <v>0.27500000000000002</v>
      </c>
      <c r="T108" s="4"/>
      <c r="U108" s="3"/>
      <c r="V108" s="3"/>
      <c r="X108" s="5"/>
      <c r="Y108" s="6"/>
      <c r="Z108" s="6"/>
      <c r="AA108" s="3"/>
      <c r="AB108" s="3"/>
      <c r="AE108" s="3"/>
    </row>
    <row r="109" spans="1:31" x14ac:dyDescent="0.35">
      <c r="A109">
        <v>108</v>
      </c>
      <c r="B109" t="s">
        <v>133</v>
      </c>
      <c r="C109" t="s">
        <v>131</v>
      </c>
      <c r="D109" t="s">
        <v>21</v>
      </c>
      <c r="E109" t="s">
        <v>21</v>
      </c>
      <c r="F109" s="1">
        <v>1.71</v>
      </c>
      <c r="G109">
        <v>150</v>
      </c>
      <c r="H109">
        <v>117</v>
      </c>
      <c r="I109" t="s">
        <v>21</v>
      </c>
      <c r="J109">
        <v>150</v>
      </c>
      <c r="K109" t="s">
        <v>22</v>
      </c>
      <c r="L109">
        <f t="shared" si="1"/>
        <v>17671.458676442588</v>
      </c>
      <c r="M109">
        <v>1.3</v>
      </c>
      <c r="N109">
        <v>24.7</v>
      </c>
      <c r="O109">
        <v>32</v>
      </c>
      <c r="P109">
        <v>446</v>
      </c>
      <c r="Q109" t="s">
        <v>22</v>
      </c>
      <c r="R109">
        <v>0.27500000000000002</v>
      </c>
      <c r="T109" s="4"/>
      <c r="U109" s="3"/>
      <c r="V109" s="3"/>
      <c r="X109" s="5"/>
      <c r="Y109" s="6"/>
      <c r="Z109" s="6"/>
      <c r="AA109" s="3"/>
      <c r="AB109" s="3"/>
      <c r="AE109" s="3"/>
    </row>
    <row r="110" spans="1:31" x14ac:dyDescent="0.35">
      <c r="A110">
        <v>109</v>
      </c>
      <c r="B110" t="s">
        <v>134</v>
      </c>
      <c r="C110" t="s">
        <v>131</v>
      </c>
      <c r="D110" t="s">
        <v>21</v>
      </c>
      <c r="E110" t="s">
        <v>21</v>
      </c>
      <c r="F110" s="1">
        <v>1.71</v>
      </c>
      <c r="G110">
        <v>150</v>
      </c>
      <c r="H110">
        <v>117</v>
      </c>
      <c r="I110" t="s">
        <v>21</v>
      </c>
      <c r="J110">
        <v>150</v>
      </c>
      <c r="K110" t="s">
        <v>22</v>
      </c>
      <c r="L110">
        <f t="shared" si="1"/>
        <v>17671.458676442588</v>
      </c>
      <c r="M110">
        <v>1.3</v>
      </c>
      <c r="N110">
        <v>24.7</v>
      </c>
      <c r="O110">
        <v>32</v>
      </c>
      <c r="P110">
        <v>448</v>
      </c>
      <c r="Q110" t="s">
        <v>22</v>
      </c>
      <c r="R110">
        <v>0.27500000000000002</v>
      </c>
      <c r="T110" s="4"/>
      <c r="U110" s="3"/>
      <c r="V110" s="3"/>
      <c r="X110" s="5"/>
      <c r="Y110" s="6"/>
      <c r="Z110" s="6"/>
      <c r="AA110" s="3"/>
      <c r="AB110" s="3"/>
      <c r="AE110" s="3"/>
    </row>
    <row r="111" spans="1:31" x14ac:dyDescent="0.35">
      <c r="A111">
        <v>110</v>
      </c>
      <c r="B111" t="s">
        <v>135</v>
      </c>
      <c r="C111" t="s">
        <v>131</v>
      </c>
      <c r="D111" t="s">
        <v>21</v>
      </c>
      <c r="E111" t="s">
        <v>21</v>
      </c>
      <c r="F111" s="1">
        <v>1.71</v>
      </c>
      <c r="G111">
        <v>153</v>
      </c>
      <c r="H111">
        <v>121</v>
      </c>
      <c r="I111" t="s">
        <v>21</v>
      </c>
      <c r="J111">
        <v>150</v>
      </c>
      <c r="K111" t="s">
        <v>22</v>
      </c>
      <c r="L111">
        <f t="shared" si="1"/>
        <v>17671.458676442588</v>
      </c>
      <c r="M111">
        <v>1.53</v>
      </c>
      <c r="N111">
        <v>30.5</v>
      </c>
      <c r="O111">
        <v>32</v>
      </c>
      <c r="P111">
        <v>436</v>
      </c>
      <c r="Q111">
        <v>210</v>
      </c>
      <c r="R111">
        <v>0.33300000000000002</v>
      </c>
      <c r="T111" s="4"/>
      <c r="U111" s="3"/>
      <c r="V111" s="3"/>
      <c r="X111" s="5"/>
      <c r="Y111" s="6"/>
      <c r="Z111" s="6"/>
      <c r="AA111" s="3"/>
      <c r="AB111" s="3"/>
      <c r="AE111" s="3"/>
    </row>
    <row r="112" spans="1:31" x14ac:dyDescent="0.35">
      <c r="A112">
        <v>111</v>
      </c>
      <c r="B112" t="s">
        <v>136</v>
      </c>
      <c r="C112" t="s">
        <v>131</v>
      </c>
      <c r="D112" t="s">
        <v>21</v>
      </c>
      <c r="E112" t="s">
        <v>21</v>
      </c>
      <c r="F112" s="1">
        <v>1.71</v>
      </c>
      <c r="G112">
        <v>154</v>
      </c>
      <c r="H112">
        <v>122</v>
      </c>
      <c r="I112" t="s">
        <v>21</v>
      </c>
      <c r="J112">
        <v>150</v>
      </c>
      <c r="K112" t="s">
        <v>22</v>
      </c>
      <c r="L112">
        <f t="shared" si="1"/>
        <v>17671.458676442588</v>
      </c>
      <c r="M112">
        <v>1.54</v>
      </c>
      <c r="N112">
        <v>29.4</v>
      </c>
      <c r="O112">
        <v>32</v>
      </c>
      <c r="P112">
        <v>439</v>
      </c>
      <c r="Q112">
        <v>210</v>
      </c>
      <c r="R112">
        <v>0.33200000000000002</v>
      </c>
      <c r="T112" s="4"/>
      <c r="U112" s="3"/>
      <c r="V112" s="3"/>
      <c r="X112" s="5"/>
      <c r="Y112" s="6"/>
      <c r="Z112" s="6"/>
      <c r="AA112" s="3"/>
      <c r="AB112" s="3"/>
      <c r="AE112" s="3"/>
    </row>
    <row r="113" spans="1:31" x14ac:dyDescent="0.35">
      <c r="A113">
        <v>112</v>
      </c>
      <c r="B113" t="s">
        <v>137</v>
      </c>
      <c r="C113" t="s">
        <v>131</v>
      </c>
      <c r="D113" t="s">
        <v>21</v>
      </c>
      <c r="E113" t="s">
        <v>21</v>
      </c>
      <c r="F113" s="1">
        <v>1.71</v>
      </c>
      <c r="G113">
        <v>158</v>
      </c>
      <c r="H113">
        <v>128</v>
      </c>
      <c r="I113" t="s">
        <v>21</v>
      </c>
      <c r="J113">
        <v>300</v>
      </c>
      <c r="K113" t="s">
        <v>22</v>
      </c>
      <c r="L113">
        <f t="shared" si="1"/>
        <v>70685.83470577035</v>
      </c>
      <c r="M113">
        <v>1.01</v>
      </c>
      <c r="N113">
        <v>25.1</v>
      </c>
      <c r="O113" t="s">
        <v>22</v>
      </c>
      <c r="P113">
        <v>455</v>
      </c>
      <c r="Q113">
        <v>210</v>
      </c>
      <c r="R113">
        <v>0.43</v>
      </c>
      <c r="T113" s="4"/>
      <c r="U113" s="3"/>
      <c r="V113" s="3"/>
      <c r="X113" s="5"/>
      <c r="Y113" s="6"/>
      <c r="Z113" s="6"/>
      <c r="AA113" s="3"/>
      <c r="AB113" s="3"/>
      <c r="AE113" s="3"/>
    </row>
    <row r="114" spans="1:31" x14ac:dyDescent="0.35">
      <c r="A114">
        <v>113</v>
      </c>
      <c r="B114" t="s">
        <v>138</v>
      </c>
      <c r="C114" t="s">
        <v>131</v>
      </c>
      <c r="D114" t="s">
        <v>21</v>
      </c>
      <c r="E114" t="s">
        <v>21</v>
      </c>
      <c r="F114" s="1">
        <v>1.71</v>
      </c>
      <c r="G114">
        <v>154</v>
      </c>
      <c r="H114">
        <v>124</v>
      </c>
      <c r="I114" t="s">
        <v>21</v>
      </c>
      <c r="J114">
        <v>300</v>
      </c>
      <c r="K114" t="s">
        <v>22</v>
      </c>
      <c r="L114">
        <f t="shared" si="1"/>
        <v>70685.83470577035</v>
      </c>
      <c r="M114">
        <v>1.04</v>
      </c>
      <c r="N114">
        <v>23.8</v>
      </c>
      <c r="O114" t="s">
        <v>22</v>
      </c>
      <c r="P114">
        <v>451</v>
      </c>
      <c r="Q114">
        <v>210</v>
      </c>
      <c r="R114">
        <v>0.40799999999999997</v>
      </c>
      <c r="T114" s="4"/>
      <c r="U114" s="3"/>
      <c r="V114" s="3"/>
      <c r="X114" s="5"/>
      <c r="Y114" s="6"/>
      <c r="Z114" s="6"/>
      <c r="AA114" s="3"/>
      <c r="AB114" s="3"/>
      <c r="AE114" s="3"/>
    </row>
    <row r="115" spans="1:31" x14ac:dyDescent="0.35">
      <c r="A115">
        <v>114</v>
      </c>
      <c r="B115" t="s">
        <v>139</v>
      </c>
      <c r="C115" t="s">
        <v>131</v>
      </c>
      <c r="D115" t="s">
        <v>21</v>
      </c>
      <c r="E115" t="s">
        <v>21</v>
      </c>
      <c r="F115" s="1">
        <v>1.71</v>
      </c>
      <c r="G115">
        <v>151</v>
      </c>
      <c r="H115">
        <v>119</v>
      </c>
      <c r="I115" t="s">
        <v>21</v>
      </c>
      <c r="J115">
        <v>300</v>
      </c>
      <c r="K115" t="s">
        <v>22</v>
      </c>
      <c r="L115">
        <f t="shared" si="1"/>
        <v>70685.83470577035</v>
      </c>
      <c r="M115">
        <v>1.72</v>
      </c>
      <c r="N115">
        <v>24.6</v>
      </c>
      <c r="O115">
        <v>32</v>
      </c>
      <c r="P115">
        <v>437</v>
      </c>
      <c r="Q115">
        <v>210</v>
      </c>
      <c r="R115">
        <v>0.36799999999999999</v>
      </c>
      <c r="T115" s="4"/>
      <c r="U115" s="3"/>
      <c r="V115" s="3"/>
      <c r="X115" s="5"/>
      <c r="Y115" s="6"/>
      <c r="Z115" s="6"/>
      <c r="AA115" s="3"/>
      <c r="AB115" s="3"/>
      <c r="AE115" s="3"/>
    </row>
    <row r="116" spans="1:31" x14ac:dyDescent="0.35">
      <c r="A116">
        <v>115</v>
      </c>
      <c r="B116" t="s">
        <v>140</v>
      </c>
      <c r="C116" t="s">
        <v>131</v>
      </c>
      <c r="D116" t="s">
        <v>21</v>
      </c>
      <c r="E116" t="s">
        <v>21</v>
      </c>
      <c r="F116" s="1">
        <v>1.71</v>
      </c>
      <c r="G116">
        <v>151</v>
      </c>
      <c r="H116">
        <v>120</v>
      </c>
      <c r="I116" t="s">
        <v>21</v>
      </c>
      <c r="J116">
        <v>300</v>
      </c>
      <c r="K116" t="s">
        <v>22</v>
      </c>
      <c r="L116">
        <f t="shared" si="1"/>
        <v>70685.83470577035</v>
      </c>
      <c r="M116">
        <v>2.16</v>
      </c>
      <c r="N116">
        <v>28.6</v>
      </c>
      <c r="O116" t="s">
        <v>22</v>
      </c>
      <c r="P116">
        <v>436</v>
      </c>
      <c r="Q116">
        <v>210</v>
      </c>
      <c r="R116">
        <v>0.49</v>
      </c>
      <c r="T116" s="4"/>
      <c r="U116" s="3"/>
      <c r="V116" s="3"/>
      <c r="X116" s="5"/>
      <c r="Y116" s="6"/>
      <c r="Z116" s="6"/>
      <c r="AA116" s="3"/>
      <c r="AB116" s="3"/>
      <c r="AE116" s="3"/>
    </row>
    <row r="117" spans="1:31" x14ac:dyDescent="0.35">
      <c r="A117">
        <v>116</v>
      </c>
      <c r="B117" t="s">
        <v>141</v>
      </c>
      <c r="C117" t="s">
        <v>131</v>
      </c>
      <c r="D117" t="s">
        <v>21</v>
      </c>
      <c r="E117" t="s">
        <v>21</v>
      </c>
      <c r="F117" s="1">
        <v>1.71</v>
      </c>
      <c r="G117">
        <v>151</v>
      </c>
      <c r="H117">
        <v>119</v>
      </c>
      <c r="I117" t="s">
        <v>21</v>
      </c>
      <c r="J117">
        <v>300</v>
      </c>
      <c r="K117" t="s">
        <v>22</v>
      </c>
      <c r="L117">
        <f t="shared" si="1"/>
        <v>70685.83470577035</v>
      </c>
      <c r="M117">
        <v>2.1800000000000002</v>
      </c>
      <c r="N117">
        <v>28.6</v>
      </c>
      <c r="O117" t="s">
        <v>22</v>
      </c>
      <c r="P117">
        <v>448</v>
      </c>
      <c r="Q117">
        <v>210</v>
      </c>
      <c r="R117">
        <v>0.53900000000000003</v>
      </c>
      <c r="T117" s="4"/>
      <c r="U117" s="3"/>
      <c r="V117" s="3"/>
      <c r="X117" s="5"/>
      <c r="Y117" s="6"/>
      <c r="Z117" s="6"/>
      <c r="AA117" s="3"/>
      <c r="AB117" s="3"/>
      <c r="AE117" s="3"/>
    </row>
    <row r="118" spans="1:31" x14ac:dyDescent="0.35">
      <c r="A118">
        <v>117</v>
      </c>
      <c r="B118" t="s">
        <v>142</v>
      </c>
      <c r="C118" t="s">
        <v>131</v>
      </c>
      <c r="D118" t="s">
        <v>21</v>
      </c>
      <c r="E118" t="s">
        <v>21</v>
      </c>
      <c r="F118" s="1">
        <v>1.71</v>
      </c>
      <c r="G118">
        <v>155</v>
      </c>
      <c r="H118">
        <v>123</v>
      </c>
      <c r="I118" t="s">
        <v>21</v>
      </c>
      <c r="J118">
        <v>300</v>
      </c>
      <c r="K118" t="s">
        <v>22</v>
      </c>
      <c r="L118">
        <f t="shared" si="1"/>
        <v>70685.83470577035</v>
      </c>
      <c r="M118">
        <v>0.49</v>
      </c>
      <c r="N118">
        <v>25</v>
      </c>
      <c r="O118" t="s">
        <v>22</v>
      </c>
      <c r="P118">
        <v>448</v>
      </c>
      <c r="Q118">
        <v>210</v>
      </c>
      <c r="R118">
        <v>0.25800000000000001</v>
      </c>
      <c r="T118" s="4"/>
      <c r="U118" s="3"/>
      <c r="V118" s="3"/>
      <c r="X118" s="5"/>
      <c r="Y118" s="6"/>
      <c r="Z118" s="6"/>
      <c r="AA118" s="3"/>
      <c r="AB118" s="3"/>
      <c r="AE118" s="3"/>
    </row>
    <row r="119" spans="1:31" x14ac:dyDescent="0.35">
      <c r="A119">
        <v>118</v>
      </c>
      <c r="B119" t="s">
        <v>143</v>
      </c>
      <c r="C119" t="s">
        <v>131</v>
      </c>
      <c r="D119" t="s">
        <v>21</v>
      </c>
      <c r="E119" t="s">
        <v>21</v>
      </c>
      <c r="F119" s="1">
        <v>1.71</v>
      </c>
      <c r="G119">
        <v>156</v>
      </c>
      <c r="H119">
        <v>125</v>
      </c>
      <c r="I119" t="s">
        <v>21</v>
      </c>
      <c r="J119">
        <v>300</v>
      </c>
      <c r="K119" t="s">
        <v>22</v>
      </c>
      <c r="L119">
        <f t="shared" si="1"/>
        <v>70685.83470577035</v>
      </c>
      <c r="M119">
        <v>0.48</v>
      </c>
      <c r="N119">
        <v>25.3</v>
      </c>
      <c r="O119" t="s">
        <v>22</v>
      </c>
      <c r="P119">
        <v>462</v>
      </c>
      <c r="Q119">
        <v>210</v>
      </c>
      <c r="R119">
        <v>0.25800000000000001</v>
      </c>
      <c r="T119" s="4"/>
      <c r="U119" s="3"/>
      <c r="V119" s="3"/>
      <c r="X119" s="5"/>
      <c r="Y119" s="6"/>
      <c r="Z119" s="6"/>
      <c r="AA119" s="3"/>
      <c r="AB119" s="3"/>
      <c r="AE119" s="3"/>
    </row>
    <row r="120" spans="1:31" x14ac:dyDescent="0.35">
      <c r="A120">
        <v>119</v>
      </c>
      <c r="B120" t="s">
        <v>144</v>
      </c>
      <c r="C120" t="s">
        <v>131</v>
      </c>
      <c r="D120" t="s">
        <v>21</v>
      </c>
      <c r="E120" t="s">
        <v>21</v>
      </c>
      <c r="F120" s="1">
        <v>1.71</v>
      </c>
      <c r="G120">
        <v>150</v>
      </c>
      <c r="H120">
        <v>120</v>
      </c>
      <c r="I120" t="s">
        <v>21</v>
      </c>
      <c r="J120">
        <v>300</v>
      </c>
      <c r="K120" t="s">
        <v>22</v>
      </c>
      <c r="L120">
        <f t="shared" si="1"/>
        <v>70685.83470577035</v>
      </c>
      <c r="M120">
        <v>1</v>
      </c>
      <c r="N120">
        <v>26.1</v>
      </c>
      <c r="O120" t="s">
        <v>22</v>
      </c>
      <c r="P120">
        <v>461</v>
      </c>
      <c r="Q120">
        <v>210</v>
      </c>
      <c r="R120">
        <v>0.33200000000000002</v>
      </c>
      <c r="T120" s="4"/>
      <c r="U120" s="3"/>
      <c r="V120" s="3"/>
      <c r="X120" s="5"/>
      <c r="Y120" s="6"/>
      <c r="Z120" s="6"/>
      <c r="AA120" s="3"/>
      <c r="AB120" s="3"/>
      <c r="AE120" s="3"/>
    </row>
    <row r="121" spans="1:31" x14ac:dyDescent="0.35">
      <c r="A121">
        <v>120</v>
      </c>
      <c r="B121" t="s">
        <v>145</v>
      </c>
      <c r="C121" t="s">
        <v>131</v>
      </c>
      <c r="D121" t="s">
        <v>21</v>
      </c>
      <c r="E121" t="s">
        <v>21</v>
      </c>
      <c r="F121" s="1">
        <v>1.71</v>
      </c>
      <c r="G121">
        <v>153</v>
      </c>
      <c r="H121">
        <v>122</v>
      </c>
      <c r="I121" t="s">
        <v>21</v>
      </c>
      <c r="J121">
        <v>300</v>
      </c>
      <c r="K121" t="s">
        <v>22</v>
      </c>
      <c r="L121">
        <f t="shared" si="1"/>
        <v>70685.83470577035</v>
      </c>
      <c r="M121">
        <v>0.98</v>
      </c>
      <c r="N121">
        <v>23.7</v>
      </c>
      <c r="O121" t="s">
        <v>22</v>
      </c>
      <c r="P121">
        <v>459</v>
      </c>
      <c r="Q121">
        <v>210</v>
      </c>
      <c r="R121">
        <v>0.33200000000000002</v>
      </c>
      <c r="T121" s="4"/>
      <c r="U121" s="3"/>
      <c r="V121" s="3"/>
      <c r="X121" s="5"/>
      <c r="Y121" s="6"/>
      <c r="Z121" s="6"/>
      <c r="AA121" s="3"/>
      <c r="AB121" s="3"/>
      <c r="AE121" s="3"/>
    </row>
    <row r="122" spans="1:31" x14ac:dyDescent="0.35">
      <c r="A122">
        <v>121</v>
      </c>
      <c r="B122" t="s">
        <v>146</v>
      </c>
      <c r="C122" t="s">
        <v>147</v>
      </c>
      <c r="D122" t="s">
        <v>48</v>
      </c>
      <c r="E122" t="s">
        <v>32</v>
      </c>
      <c r="F122" s="1">
        <v>1.778</v>
      </c>
      <c r="G122">
        <v>152</v>
      </c>
      <c r="H122">
        <v>118</v>
      </c>
      <c r="I122" t="s">
        <v>32</v>
      </c>
      <c r="J122">
        <v>254</v>
      </c>
      <c r="K122" t="s">
        <v>22</v>
      </c>
      <c r="L122">
        <f t="shared" si="1"/>
        <v>64516</v>
      </c>
      <c r="M122">
        <v>1.1499999999999999</v>
      </c>
      <c r="N122">
        <v>14.1</v>
      </c>
      <c r="O122">
        <v>25</v>
      </c>
      <c r="P122">
        <v>332</v>
      </c>
      <c r="Q122" t="s">
        <v>22</v>
      </c>
      <c r="R122">
        <v>0.30299999999999999</v>
      </c>
      <c r="T122" s="4"/>
      <c r="U122" s="3"/>
      <c r="V122" s="3"/>
      <c r="X122" s="5"/>
      <c r="Y122" s="6"/>
      <c r="Z122" s="6"/>
      <c r="AA122" s="3"/>
      <c r="AB122" s="3"/>
      <c r="AE122" s="3"/>
    </row>
    <row r="123" spans="1:31" x14ac:dyDescent="0.35">
      <c r="A123">
        <v>122</v>
      </c>
      <c r="B123" t="s">
        <v>148</v>
      </c>
      <c r="C123" t="s">
        <v>147</v>
      </c>
      <c r="D123" t="s">
        <v>48</v>
      </c>
      <c r="E123" t="s">
        <v>32</v>
      </c>
      <c r="F123" s="1">
        <v>1.778</v>
      </c>
      <c r="G123">
        <v>152</v>
      </c>
      <c r="H123">
        <v>118</v>
      </c>
      <c r="I123" t="s">
        <v>32</v>
      </c>
      <c r="J123">
        <v>254</v>
      </c>
      <c r="K123" t="s">
        <v>22</v>
      </c>
      <c r="L123">
        <f t="shared" si="1"/>
        <v>64516</v>
      </c>
      <c r="M123">
        <v>1.1499999999999999</v>
      </c>
      <c r="N123">
        <v>25.3</v>
      </c>
      <c r="O123">
        <v>25</v>
      </c>
      <c r="P123">
        <v>332</v>
      </c>
      <c r="Q123" t="s">
        <v>22</v>
      </c>
      <c r="R123">
        <v>0.36499999999999999</v>
      </c>
      <c r="T123" s="4"/>
      <c r="U123" s="3"/>
      <c r="V123" s="3"/>
      <c r="X123" s="5"/>
      <c r="Y123" s="6"/>
      <c r="Z123" s="6"/>
      <c r="AA123" s="3"/>
      <c r="AB123" s="3"/>
      <c r="AE123" s="3"/>
    </row>
    <row r="124" spans="1:31" x14ac:dyDescent="0.35">
      <c r="A124">
        <v>123</v>
      </c>
      <c r="B124" t="s">
        <v>149</v>
      </c>
      <c r="C124" t="s">
        <v>147</v>
      </c>
      <c r="D124" t="s">
        <v>48</v>
      </c>
      <c r="E124" t="s">
        <v>32</v>
      </c>
      <c r="F124" s="1">
        <v>1.778</v>
      </c>
      <c r="G124">
        <v>152</v>
      </c>
      <c r="H124">
        <v>118</v>
      </c>
      <c r="I124" t="s">
        <v>32</v>
      </c>
      <c r="J124">
        <v>254</v>
      </c>
      <c r="K124" t="s">
        <v>22</v>
      </c>
      <c r="L124">
        <f t="shared" si="1"/>
        <v>64516</v>
      </c>
      <c r="M124">
        <v>1.1499999999999999</v>
      </c>
      <c r="N124">
        <v>29.1</v>
      </c>
      <c r="O124">
        <v>25</v>
      </c>
      <c r="P124">
        <v>332</v>
      </c>
      <c r="Q124" t="s">
        <v>22</v>
      </c>
      <c r="R124">
        <v>0.35599999999999998</v>
      </c>
      <c r="T124" s="4"/>
      <c r="U124" s="3"/>
      <c r="V124" s="3"/>
      <c r="X124" s="5"/>
      <c r="Y124" s="6"/>
      <c r="Z124" s="6"/>
      <c r="AA124" s="3"/>
      <c r="AB124" s="3"/>
      <c r="AE124" s="3"/>
    </row>
    <row r="125" spans="1:31" x14ac:dyDescent="0.35">
      <c r="A125">
        <v>124</v>
      </c>
      <c r="B125" t="s">
        <v>150</v>
      </c>
      <c r="C125" t="s">
        <v>147</v>
      </c>
      <c r="D125" t="s">
        <v>48</v>
      </c>
      <c r="E125" t="s">
        <v>32</v>
      </c>
      <c r="F125" s="1">
        <v>1.778</v>
      </c>
      <c r="G125">
        <v>152</v>
      </c>
      <c r="H125">
        <v>118</v>
      </c>
      <c r="I125" t="s">
        <v>32</v>
      </c>
      <c r="J125">
        <v>254</v>
      </c>
      <c r="K125" t="s">
        <v>22</v>
      </c>
      <c r="L125">
        <f t="shared" si="1"/>
        <v>64516</v>
      </c>
      <c r="M125">
        <v>1.1499999999999999</v>
      </c>
      <c r="N125">
        <v>36.9</v>
      </c>
      <c r="O125">
        <v>25</v>
      </c>
      <c r="P125">
        <v>332</v>
      </c>
      <c r="Q125" t="s">
        <v>22</v>
      </c>
      <c r="R125">
        <v>0.35099999999999998</v>
      </c>
      <c r="T125" s="4"/>
      <c r="U125" s="3"/>
      <c r="V125" s="3"/>
      <c r="X125" s="5"/>
      <c r="Y125" s="6"/>
      <c r="Z125" s="6"/>
      <c r="AA125" s="3"/>
      <c r="AB125" s="3"/>
      <c r="AE125" s="3"/>
    </row>
    <row r="126" spans="1:31" x14ac:dyDescent="0.35">
      <c r="A126">
        <v>125</v>
      </c>
      <c r="B126" t="s">
        <v>151</v>
      </c>
      <c r="C126" t="s">
        <v>147</v>
      </c>
      <c r="D126" t="s">
        <v>48</v>
      </c>
      <c r="E126" t="s">
        <v>32</v>
      </c>
      <c r="F126" s="1">
        <v>1.778</v>
      </c>
      <c r="G126">
        <v>152</v>
      </c>
      <c r="H126">
        <v>118</v>
      </c>
      <c r="I126" t="s">
        <v>32</v>
      </c>
      <c r="J126">
        <v>254</v>
      </c>
      <c r="K126" t="s">
        <v>22</v>
      </c>
      <c r="L126">
        <f t="shared" si="1"/>
        <v>64516</v>
      </c>
      <c r="M126">
        <v>1.1499999999999999</v>
      </c>
      <c r="N126">
        <v>20.3</v>
      </c>
      <c r="O126">
        <v>25</v>
      </c>
      <c r="P126">
        <v>332</v>
      </c>
      <c r="Q126" t="s">
        <v>22</v>
      </c>
      <c r="R126">
        <v>0.35599999999999998</v>
      </c>
      <c r="T126" s="4"/>
      <c r="U126" s="3"/>
      <c r="V126" s="3"/>
      <c r="X126" s="5"/>
      <c r="Y126" s="6"/>
      <c r="Z126" s="6"/>
      <c r="AA126" s="3"/>
      <c r="AB126" s="3"/>
      <c r="AE126" s="3"/>
    </row>
    <row r="127" spans="1:31" x14ac:dyDescent="0.35">
      <c r="A127">
        <v>126</v>
      </c>
      <c r="B127" t="s">
        <v>152</v>
      </c>
      <c r="C127" t="s">
        <v>147</v>
      </c>
      <c r="D127" t="s">
        <v>48</v>
      </c>
      <c r="E127" t="s">
        <v>32</v>
      </c>
      <c r="F127" s="1">
        <v>1.778</v>
      </c>
      <c r="G127">
        <v>152</v>
      </c>
      <c r="H127">
        <v>114</v>
      </c>
      <c r="I127" t="s">
        <v>32</v>
      </c>
      <c r="J127">
        <v>254</v>
      </c>
      <c r="K127" t="s">
        <v>22</v>
      </c>
      <c r="L127">
        <f t="shared" si="1"/>
        <v>64516</v>
      </c>
      <c r="M127">
        <v>2.4700000000000002</v>
      </c>
      <c r="N127">
        <v>13.7</v>
      </c>
      <c r="O127">
        <v>25</v>
      </c>
      <c r="P127">
        <v>321</v>
      </c>
      <c r="Q127" t="s">
        <v>22</v>
      </c>
      <c r="R127">
        <v>0.33400000000000002</v>
      </c>
      <c r="T127" s="4"/>
      <c r="U127" s="3"/>
      <c r="V127" s="3"/>
      <c r="X127" s="5"/>
      <c r="Y127" s="6"/>
      <c r="Z127" s="6"/>
      <c r="AA127" s="3"/>
      <c r="AB127" s="3"/>
      <c r="AE127" s="3"/>
    </row>
    <row r="128" spans="1:31" x14ac:dyDescent="0.35">
      <c r="A128">
        <v>127</v>
      </c>
      <c r="B128" t="s">
        <v>153</v>
      </c>
      <c r="C128" t="s">
        <v>147</v>
      </c>
      <c r="D128" t="s">
        <v>48</v>
      </c>
      <c r="E128" t="s">
        <v>32</v>
      </c>
      <c r="F128" s="1">
        <v>1.778</v>
      </c>
      <c r="G128">
        <v>152</v>
      </c>
      <c r="H128">
        <v>114</v>
      </c>
      <c r="I128" t="s">
        <v>32</v>
      </c>
      <c r="J128">
        <v>254</v>
      </c>
      <c r="K128" t="s">
        <v>22</v>
      </c>
      <c r="L128">
        <f t="shared" si="1"/>
        <v>64516</v>
      </c>
      <c r="M128">
        <v>2.4700000000000002</v>
      </c>
      <c r="N128">
        <v>19.5</v>
      </c>
      <c r="O128">
        <v>25</v>
      </c>
      <c r="P128">
        <v>321</v>
      </c>
      <c r="Q128" t="s">
        <v>22</v>
      </c>
      <c r="R128">
        <v>0.4</v>
      </c>
      <c r="T128" s="4"/>
      <c r="U128" s="3"/>
      <c r="V128" s="3"/>
      <c r="X128" s="5"/>
      <c r="Y128" s="6"/>
      <c r="Z128" s="6"/>
      <c r="AA128" s="3"/>
      <c r="AB128" s="3"/>
      <c r="AE128" s="3"/>
    </row>
    <row r="129" spans="1:31" x14ac:dyDescent="0.35">
      <c r="A129">
        <v>128</v>
      </c>
      <c r="B129" t="s">
        <v>154</v>
      </c>
      <c r="C129" t="s">
        <v>147</v>
      </c>
      <c r="D129" t="s">
        <v>48</v>
      </c>
      <c r="E129" t="s">
        <v>32</v>
      </c>
      <c r="F129" s="1">
        <v>1.778</v>
      </c>
      <c r="G129">
        <v>152</v>
      </c>
      <c r="H129">
        <v>114</v>
      </c>
      <c r="I129" t="s">
        <v>32</v>
      </c>
      <c r="J129">
        <v>254</v>
      </c>
      <c r="K129" t="s">
        <v>22</v>
      </c>
      <c r="L129">
        <f t="shared" si="1"/>
        <v>64516</v>
      </c>
      <c r="M129">
        <v>2.4700000000000002</v>
      </c>
      <c r="N129">
        <v>37.5</v>
      </c>
      <c r="O129">
        <v>25</v>
      </c>
      <c r="P129">
        <v>321</v>
      </c>
      <c r="Q129" t="s">
        <v>22</v>
      </c>
      <c r="R129">
        <v>0.46700000000000003</v>
      </c>
      <c r="T129" s="4"/>
      <c r="U129" s="3"/>
      <c r="V129" s="3"/>
      <c r="X129" s="5"/>
      <c r="Y129" s="6"/>
      <c r="Z129" s="6"/>
      <c r="AA129" s="3"/>
      <c r="AB129" s="3"/>
      <c r="AE129" s="3"/>
    </row>
    <row r="130" spans="1:31" x14ac:dyDescent="0.35">
      <c r="A130">
        <v>129</v>
      </c>
      <c r="B130" t="s">
        <v>155</v>
      </c>
      <c r="C130" t="s">
        <v>147</v>
      </c>
      <c r="D130" t="s">
        <v>48</v>
      </c>
      <c r="E130" t="s">
        <v>32</v>
      </c>
      <c r="F130" s="1">
        <v>1.778</v>
      </c>
      <c r="G130">
        <v>152</v>
      </c>
      <c r="H130">
        <v>114</v>
      </c>
      <c r="I130" t="s">
        <v>32</v>
      </c>
      <c r="J130">
        <v>254</v>
      </c>
      <c r="K130" t="s">
        <v>22</v>
      </c>
      <c r="L130">
        <f t="shared" si="1"/>
        <v>64516</v>
      </c>
      <c r="M130">
        <v>2.4700000000000002</v>
      </c>
      <c r="N130">
        <v>27.9</v>
      </c>
      <c r="O130">
        <v>25</v>
      </c>
      <c r="P130">
        <v>321</v>
      </c>
      <c r="Q130" t="s">
        <v>22</v>
      </c>
      <c r="R130">
        <v>0.51200000000000001</v>
      </c>
      <c r="T130" s="4"/>
      <c r="U130" s="3"/>
      <c r="V130" s="3"/>
      <c r="X130" s="5"/>
      <c r="Y130" s="6"/>
      <c r="Z130" s="6"/>
      <c r="AA130" s="3"/>
      <c r="AB130" s="3"/>
      <c r="AE130" s="3"/>
    </row>
    <row r="131" spans="1:31" x14ac:dyDescent="0.35">
      <c r="A131">
        <v>130</v>
      </c>
      <c r="B131" t="s">
        <v>156</v>
      </c>
      <c r="C131" t="s">
        <v>147</v>
      </c>
      <c r="D131" t="s">
        <v>48</v>
      </c>
      <c r="E131" t="s">
        <v>32</v>
      </c>
      <c r="F131" s="1">
        <v>1.778</v>
      </c>
      <c r="G131">
        <v>152</v>
      </c>
      <c r="H131">
        <v>114</v>
      </c>
      <c r="I131" t="s">
        <v>32</v>
      </c>
      <c r="J131">
        <v>254</v>
      </c>
      <c r="K131" t="s">
        <v>22</v>
      </c>
      <c r="L131">
        <f t="shared" ref="L131:L194" si="2">IF(I131="k",J131^2*PI()/4,IF(I131="q",J131^2,J131*K131))</f>
        <v>64516</v>
      </c>
      <c r="M131">
        <v>3.7</v>
      </c>
      <c r="N131">
        <v>12.8</v>
      </c>
      <c r="O131">
        <v>25</v>
      </c>
      <c r="P131">
        <v>321</v>
      </c>
      <c r="Q131" t="s">
        <v>22</v>
      </c>
      <c r="R131">
        <v>0.35599999999999998</v>
      </c>
      <c r="T131" s="4"/>
      <c r="U131" s="3"/>
      <c r="V131" s="3"/>
      <c r="X131" s="5"/>
      <c r="Y131" s="6"/>
      <c r="Z131" s="6"/>
      <c r="AA131" s="3"/>
      <c r="AB131" s="3"/>
      <c r="AE131" s="3"/>
    </row>
    <row r="132" spans="1:31" x14ac:dyDescent="0.35">
      <c r="A132">
        <v>131</v>
      </c>
      <c r="B132" t="s">
        <v>157</v>
      </c>
      <c r="C132" t="s">
        <v>147</v>
      </c>
      <c r="D132" t="s">
        <v>48</v>
      </c>
      <c r="E132" t="s">
        <v>32</v>
      </c>
      <c r="F132" s="1">
        <v>1.778</v>
      </c>
      <c r="G132">
        <v>152</v>
      </c>
      <c r="H132">
        <v>114</v>
      </c>
      <c r="I132" t="s">
        <v>32</v>
      </c>
      <c r="J132">
        <v>254</v>
      </c>
      <c r="K132" t="s">
        <v>22</v>
      </c>
      <c r="L132">
        <f t="shared" si="2"/>
        <v>64516</v>
      </c>
      <c r="M132">
        <v>3.7</v>
      </c>
      <c r="N132">
        <v>22.6</v>
      </c>
      <c r="O132">
        <v>25</v>
      </c>
      <c r="P132">
        <v>321</v>
      </c>
      <c r="Q132" t="s">
        <v>22</v>
      </c>
      <c r="R132">
        <v>0.44500000000000001</v>
      </c>
      <c r="T132" s="4"/>
      <c r="U132" s="3"/>
      <c r="V132" s="3"/>
      <c r="X132" s="5"/>
      <c r="Y132" s="6"/>
      <c r="Z132" s="6"/>
      <c r="AA132" s="3"/>
      <c r="AB132" s="3"/>
      <c r="AE132" s="3"/>
    </row>
    <row r="133" spans="1:31" x14ac:dyDescent="0.35">
      <c r="A133">
        <v>132</v>
      </c>
      <c r="B133" t="s">
        <v>158</v>
      </c>
      <c r="C133" t="s">
        <v>147</v>
      </c>
      <c r="D133" t="s">
        <v>48</v>
      </c>
      <c r="E133" t="s">
        <v>32</v>
      </c>
      <c r="F133" s="1">
        <v>1.778</v>
      </c>
      <c r="G133">
        <v>152</v>
      </c>
      <c r="H133">
        <v>114</v>
      </c>
      <c r="I133" t="s">
        <v>32</v>
      </c>
      <c r="J133">
        <v>254</v>
      </c>
      <c r="K133" t="s">
        <v>22</v>
      </c>
      <c r="L133">
        <f t="shared" si="2"/>
        <v>64516</v>
      </c>
      <c r="M133">
        <v>3.7</v>
      </c>
      <c r="N133">
        <v>26.6</v>
      </c>
      <c r="O133">
        <v>25</v>
      </c>
      <c r="P133">
        <v>321</v>
      </c>
      <c r="Q133" t="s">
        <v>22</v>
      </c>
      <c r="R133">
        <v>0.53400000000000003</v>
      </c>
      <c r="T133" s="4"/>
      <c r="U133" s="3"/>
      <c r="V133" s="3"/>
      <c r="X133" s="5"/>
      <c r="Y133" s="6"/>
      <c r="Z133" s="6"/>
      <c r="AA133" s="3"/>
      <c r="AB133" s="3"/>
      <c r="AE133" s="3"/>
    </row>
    <row r="134" spans="1:31" x14ac:dyDescent="0.35">
      <c r="A134">
        <v>133</v>
      </c>
      <c r="B134" t="s">
        <v>159</v>
      </c>
      <c r="C134" t="s">
        <v>147</v>
      </c>
      <c r="D134" t="s">
        <v>48</v>
      </c>
      <c r="E134" t="s">
        <v>32</v>
      </c>
      <c r="F134" s="1">
        <v>1.778</v>
      </c>
      <c r="G134">
        <v>152</v>
      </c>
      <c r="H134">
        <v>114</v>
      </c>
      <c r="I134" t="s">
        <v>32</v>
      </c>
      <c r="J134">
        <v>254</v>
      </c>
      <c r="K134" t="s">
        <v>22</v>
      </c>
      <c r="L134">
        <f t="shared" si="2"/>
        <v>64516</v>
      </c>
      <c r="M134">
        <v>3.7</v>
      </c>
      <c r="N134">
        <v>34.6</v>
      </c>
      <c r="O134">
        <v>25</v>
      </c>
      <c r="P134">
        <v>321</v>
      </c>
      <c r="Q134" t="s">
        <v>22</v>
      </c>
      <c r="R134">
        <v>0.54700000000000004</v>
      </c>
      <c r="T134" s="4"/>
      <c r="U134" s="3"/>
      <c r="V134" s="3"/>
      <c r="X134" s="5"/>
      <c r="Y134" s="6"/>
      <c r="Z134" s="6"/>
      <c r="AA134" s="3"/>
      <c r="AB134" s="3"/>
      <c r="AE134" s="3"/>
    </row>
    <row r="135" spans="1:31" x14ac:dyDescent="0.35">
      <c r="A135">
        <v>134</v>
      </c>
      <c r="B135" t="s">
        <v>160</v>
      </c>
      <c r="C135" t="s">
        <v>147</v>
      </c>
      <c r="D135" t="s">
        <v>48</v>
      </c>
      <c r="E135" t="s">
        <v>32</v>
      </c>
      <c r="F135" s="1">
        <v>1.778</v>
      </c>
      <c r="G135">
        <v>152</v>
      </c>
      <c r="H135">
        <v>118</v>
      </c>
      <c r="I135" t="s">
        <v>32</v>
      </c>
      <c r="J135">
        <v>356</v>
      </c>
      <c r="K135" t="s">
        <v>22</v>
      </c>
      <c r="L135">
        <f t="shared" si="2"/>
        <v>126736</v>
      </c>
      <c r="M135">
        <v>1.1499999999999999</v>
      </c>
      <c r="N135">
        <v>26.1</v>
      </c>
      <c r="O135">
        <v>25</v>
      </c>
      <c r="P135">
        <v>332</v>
      </c>
      <c r="Q135" t="s">
        <v>22</v>
      </c>
      <c r="R135">
        <v>0.4</v>
      </c>
      <c r="T135" s="4"/>
      <c r="U135" s="3"/>
      <c r="V135" s="3"/>
      <c r="X135" s="5"/>
      <c r="Y135" s="6"/>
      <c r="Z135" s="6"/>
      <c r="AA135" s="3"/>
      <c r="AB135" s="3"/>
      <c r="AE135" s="3"/>
    </row>
    <row r="136" spans="1:31" x14ac:dyDescent="0.35">
      <c r="A136">
        <v>135</v>
      </c>
      <c r="B136" t="s">
        <v>161</v>
      </c>
      <c r="C136" t="s">
        <v>147</v>
      </c>
      <c r="D136" t="s">
        <v>48</v>
      </c>
      <c r="E136" t="s">
        <v>32</v>
      </c>
      <c r="F136" s="1">
        <v>1.778</v>
      </c>
      <c r="G136">
        <v>152</v>
      </c>
      <c r="H136">
        <v>114</v>
      </c>
      <c r="I136" t="s">
        <v>32</v>
      </c>
      <c r="J136">
        <v>356</v>
      </c>
      <c r="K136" t="s">
        <v>22</v>
      </c>
      <c r="L136">
        <f t="shared" si="2"/>
        <v>126736</v>
      </c>
      <c r="M136">
        <v>2.4700000000000002</v>
      </c>
      <c r="N136">
        <v>27.8</v>
      </c>
      <c r="O136">
        <v>25</v>
      </c>
      <c r="P136">
        <v>321</v>
      </c>
      <c r="Q136" t="s">
        <v>22</v>
      </c>
      <c r="R136">
        <v>0.53400000000000003</v>
      </c>
      <c r="T136" s="4"/>
      <c r="U136" s="3"/>
      <c r="V136" s="3"/>
      <c r="X136" s="5"/>
      <c r="Y136" s="6"/>
      <c r="Z136" s="6"/>
      <c r="AA136" s="3"/>
      <c r="AB136" s="3"/>
      <c r="AE136" s="3"/>
    </row>
    <row r="137" spans="1:31" x14ac:dyDescent="0.35">
      <c r="A137">
        <v>136</v>
      </c>
      <c r="B137" t="s">
        <v>162</v>
      </c>
      <c r="C137" t="s">
        <v>147</v>
      </c>
      <c r="D137" t="s">
        <v>48</v>
      </c>
      <c r="E137" t="s">
        <v>32</v>
      </c>
      <c r="F137" s="1">
        <v>1.778</v>
      </c>
      <c r="G137">
        <v>152</v>
      </c>
      <c r="H137">
        <v>114</v>
      </c>
      <c r="I137" t="s">
        <v>32</v>
      </c>
      <c r="J137">
        <v>356</v>
      </c>
      <c r="K137" t="s">
        <v>22</v>
      </c>
      <c r="L137">
        <f t="shared" si="2"/>
        <v>126736</v>
      </c>
      <c r="M137">
        <v>3.7</v>
      </c>
      <c r="N137">
        <v>25.1</v>
      </c>
      <c r="O137">
        <v>25</v>
      </c>
      <c r="P137">
        <v>321</v>
      </c>
      <c r="Q137" t="s">
        <v>22</v>
      </c>
      <c r="R137">
        <v>0.498</v>
      </c>
      <c r="T137" s="4"/>
      <c r="U137" s="3"/>
      <c r="V137" s="3"/>
      <c r="X137" s="5"/>
      <c r="Y137" s="6"/>
      <c r="Z137" s="6"/>
      <c r="AA137" s="3"/>
      <c r="AB137" s="3"/>
      <c r="AE137" s="3"/>
    </row>
    <row r="138" spans="1:31" x14ac:dyDescent="0.35">
      <c r="A138">
        <v>137</v>
      </c>
      <c r="B138" t="s">
        <v>163</v>
      </c>
      <c r="C138" t="s">
        <v>147</v>
      </c>
      <c r="D138" t="s">
        <v>48</v>
      </c>
      <c r="E138" t="s">
        <v>32</v>
      </c>
      <c r="F138" s="1">
        <v>1.778</v>
      </c>
      <c r="G138">
        <v>152</v>
      </c>
      <c r="H138">
        <v>114</v>
      </c>
      <c r="I138" t="s">
        <v>32</v>
      </c>
      <c r="J138">
        <v>254</v>
      </c>
      <c r="K138" t="s">
        <v>22</v>
      </c>
      <c r="L138">
        <f t="shared" si="2"/>
        <v>64516</v>
      </c>
      <c r="M138">
        <v>0.5</v>
      </c>
      <c r="N138">
        <v>14.2</v>
      </c>
      <c r="O138">
        <v>38</v>
      </c>
      <c r="P138">
        <v>324</v>
      </c>
      <c r="Q138" t="s">
        <v>22</v>
      </c>
      <c r="R138">
        <v>0.17799999999999999</v>
      </c>
      <c r="T138" s="4"/>
      <c r="U138" s="3"/>
      <c r="V138" s="3"/>
      <c r="X138" s="5"/>
      <c r="Y138" s="6"/>
      <c r="Z138" s="6"/>
      <c r="AA138" s="3"/>
      <c r="AB138" s="3"/>
      <c r="AE138" s="3"/>
    </row>
    <row r="139" spans="1:31" x14ac:dyDescent="0.35">
      <c r="A139">
        <v>138</v>
      </c>
      <c r="B139" t="s">
        <v>164</v>
      </c>
      <c r="C139" t="s">
        <v>147</v>
      </c>
      <c r="D139" t="s">
        <v>48</v>
      </c>
      <c r="E139" t="s">
        <v>32</v>
      </c>
      <c r="F139" s="1">
        <v>1.778</v>
      </c>
      <c r="G139">
        <v>152</v>
      </c>
      <c r="H139">
        <v>114</v>
      </c>
      <c r="I139" t="s">
        <v>32</v>
      </c>
      <c r="J139">
        <v>254</v>
      </c>
      <c r="K139" t="s">
        <v>22</v>
      </c>
      <c r="L139">
        <f t="shared" si="2"/>
        <v>64516</v>
      </c>
      <c r="M139">
        <v>0.99</v>
      </c>
      <c r="N139">
        <v>47.8</v>
      </c>
      <c r="O139">
        <v>38</v>
      </c>
      <c r="P139">
        <v>303</v>
      </c>
      <c r="Q139" t="s">
        <v>22</v>
      </c>
      <c r="R139">
        <v>0.33400000000000002</v>
      </c>
      <c r="T139" s="4"/>
      <c r="U139" s="3"/>
      <c r="V139" s="3"/>
      <c r="X139" s="5"/>
      <c r="Y139" s="6"/>
      <c r="Z139" s="6"/>
      <c r="AA139" s="3"/>
      <c r="AB139" s="3"/>
      <c r="AE139" s="3"/>
    </row>
    <row r="140" spans="1:31" x14ac:dyDescent="0.35">
      <c r="A140">
        <v>139</v>
      </c>
      <c r="B140" t="s">
        <v>165</v>
      </c>
      <c r="C140" t="s">
        <v>147</v>
      </c>
      <c r="D140" t="s">
        <v>48</v>
      </c>
      <c r="E140" t="s">
        <v>32</v>
      </c>
      <c r="F140" s="1">
        <v>1.778</v>
      </c>
      <c r="G140">
        <v>152</v>
      </c>
      <c r="H140">
        <v>114</v>
      </c>
      <c r="I140" t="s">
        <v>32</v>
      </c>
      <c r="J140">
        <v>254</v>
      </c>
      <c r="K140" t="s">
        <v>22</v>
      </c>
      <c r="L140">
        <f t="shared" si="2"/>
        <v>64516</v>
      </c>
      <c r="M140">
        <v>2</v>
      </c>
      <c r="N140">
        <v>43.9</v>
      </c>
      <c r="O140">
        <v>38</v>
      </c>
      <c r="P140">
        <v>341</v>
      </c>
      <c r="Q140" t="s">
        <v>22</v>
      </c>
      <c r="R140">
        <v>0.505</v>
      </c>
      <c r="T140" s="4"/>
      <c r="U140" s="3"/>
      <c r="V140" s="3"/>
      <c r="X140" s="5"/>
      <c r="Y140" s="6"/>
      <c r="Z140" s="6"/>
      <c r="AA140" s="3"/>
      <c r="AB140" s="3"/>
      <c r="AE140" s="3"/>
    </row>
    <row r="141" spans="1:31" x14ac:dyDescent="0.35">
      <c r="A141">
        <v>140</v>
      </c>
      <c r="B141" t="s">
        <v>166</v>
      </c>
      <c r="C141" t="s">
        <v>147</v>
      </c>
      <c r="D141" t="s">
        <v>48</v>
      </c>
      <c r="E141" t="s">
        <v>32</v>
      </c>
      <c r="F141" s="1">
        <v>1.778</v>
      </c>
      <c r="G141">
        <v>152</v>
      </c>
      <c r="H141">
        <v>114</v>
      </c>
      <c r="I141" t="s">
        <v>32</v>
      </c>
      <c r="J141">
        <v>254</v>
      </c>
      <c r="K141" t="s">
        <v>22</v>
      </c>
      <c r="L141">
        <f t="shared" si="2"/>
        <v>64516</v>
      </c>
      <c r="M141">
        <v>3</v>
      </c>
      <c r="N141">
        <v>13.5</v>
      </c>
      <c r="O141">
        <v>38</v>
      </c>
      <c r="P141">
        <v>409</v>
      </c>
      <c r="Q141" t="s">
        <v>22</v>
      </c>
      <c r="R141">
        <v>0.32900000000000001</v>
      </c>
      <c r="T141" s="4"/>
      <c r="U141" s="3"/>
      <c r="V141" s="3"/>
      <c r="X141" s="5"/>
      <c r="Y141" s="6"/>
      <c r="Z141" s="6"/>
      <c r="AA141" s="3"/>
      <c r="AB141" s="3"/>
      <c r="AE141" s="3"/>
    </row>
    <row r="142" spans="1:31" x14ac:dyDescent="0.35">
      <c r="A142">
        <v>141</v>
      </c>
      <c r="B142" t="s">
        <v>167</v>
      </c>
      <c r="C142" t="s">
        <v>147</v>
      </c>
      <c r="D142" t="s">
        <v>48</v>
      </c>
      <c r="E142" t="s">
        <v>32</v>
      </c>
      <c r="F142" s="1">
        <v>1.778</v>
      </c>
      <c r="G142">
        <v>152</v>
      </c>
      <c r="H142">
        <v>114</v>
      </c>
      <c r="I142" t="s">
        <v>32</v>
      </c>
      <c r="J142">
        <v>254</v>
      </c>
      <c r="K142" t="s">
        <v>22</v>
      </c>
      <c r="L142">
        <f t="shared" si="2"/>
        <v>64516</v>
      </c>
      <c r="M142">
        <v>3</v>
      </c>
      <c r="N142">
        <v>50.6</v>
      </c>
      <c r="O142">
        <v>38</v>
      </c>
      <c r="P142">
        <v>325</v>
      </c>
      <c r="Q142" t="s">
        <v>22</v>
      </c>
      <c r="R142">
        <v>0.57799999999999996</v>
      </c>
      <c r="T142" s="4"/>
      <c r="U142" s="3"/>
      <c r="V142" s="3"/>
      <c r="X142" s="5"/>
      <c r="Y142" s="6"/>
      <c r="Z142" s="6"/>
      <c r="AA142" s="3"/>
      <c r="AB142" s="3"/>
      <c r="AE142" s="3"/>
    </row>
    <row r="143" spans="1:31" x14ac:dyDescent="0.35">
      <c r="A143">
        <v>142</v>
      </c>
      <c r="B143" t="s">
        <v>168</v>
      </c>
      <c r="C143" t="s">
        <v>147</v>
      </c>
      <c r="D143" t="s">
        <v>48</v>
      </c>
      <c r="E143" t="s">
        <v>32</v>
      </c>
      <c r="F143" s="1">
        <v>1.778</v>
      </c>
      <c r="G143">
        <v>152</v>
      </c>
      <c r="H143">
        <v>114</v>
      </c>
      <c r="I143" t="s">
        <v>32</v>
      </c>
      <c r="J143">
        <v>254</v>
      </c>
      <c r="K143" t="s">
        <v>22</v>
      </c>
      <c r="L143">
        <f t="shared" si="2"/>
        <v>64516</v>
      </c>
      <c r="M143">
        <v>2.4700000000000002</v>
      </c>
      <c r="N143">
        <v>28.5</v>
      </c>
      <c r="O143">
        <v>25</v>
      </c>
      <c r="P143">
        <v>321</v>
      </c>
      <c r="Q143" t="s">
        <v>22</v>
      </c>
      <c r="R143">
        <v>0.4</v>
      </c>
      <c r="T143" s="4"/>
      <c r="U143" s="3"/>
      <c r="V143" s="3"/>
      <c r="X143" s="5"/>
      <c r="Y143" s="6"/>
      <c r="Z143" s="6"/>
      <c r="AA143" s="3"/>
      <c r="AB143" s="3"/>
      <c r="AE143" s="3"/>
    </row>
    <row r="144" spans="1:31" x14ac:dyDescent="0.35">
      <c r="A144">
        <v>143</v>
      </c>
      <c r="B144" t="s">
        <v>169</v>
      </c>
      <c r="C144" t="s">
        <v>147</v>
      </c>
      <c r="D144" t="s">
        <v>48</v>
      </c>
      <c r="E144" t="s">
        <v>32</v>
      </c>
      <c r="F144" s="1">
        <v>1.778</v>
      </c>
      <c r="G144">
        <v>152</v>
      </c>
      <c r="H144">
        <v>114</v>
      </c>
      <c r="I144" t="s">
        <v>32</v>
      </c>
      <c r="J144">
        <v>356</v>
      </c>
      <c r="K144" t="s">
        <v>22</v>
      </c>
      <c r="L144">
        <f t="shared" si="2"/>
        <v>126736</v>
      </c>
      <c r="M144">
        <v>2.4700000000000002</v>
      </c>
      <c r="N144">
        <v>21.9</v>
      </c>
      <c r="O144">
        <v>25</v>
      </c>
      <c r="P144">
        <v>321</v>
      </c>
      <c r="Q144" t="s">
        <v>22</v>
      </c>
      <c r="R144">
        <v>0.436</v>
      </c>
      <c r="T144" s="4"/>
      <c r="U144" s="3"/>
      <c r="V144" s="3"/>
      <c r="X144" s="5"/>
      <c r="Y144" s="6"/>
      <c r="Z144" s="6"/>
      <c r="AA144" s="3"/>
      <c r="AB144" s="3"/>
      <c r="AE144" s="3"/>
    </row>
    <row r="145" spans="1:31" x14ac:dyDescent="0.35">
      <c r="A145">
        <v>143</v>
      </c>
      <c r="B145" t="s">
        <v>170</v>
      </c>
      <c r="C145" t="s">
        <v>147</v>
      </c>
      <c r="D145" t="s">
        <v>48</v>
      </c>
      <c r="E145" t="s">
        <v>32</v>
      </c>
      <c r="F145" s="1">
        <v>1.778</v>
      </c>
      <c r="G145">
        <v>152</v>
      </c>
      <c r="H145">
        <v>114</v>
      </c>
      <c r="I145" t="s">
        <v>32</v>
      </c>
      <c r="J145">
        <v>254</v>
      </c>
      <c r="K145" t="s">
        <v>22</v>
      </c>
      <c r="L145">
        <f t="shared" si="2"/>
        <v>64516</v>
      </c>
      <c r="M145">
        <v>2.4700000000000002</v>
      </c>
      <c r="N145">
        <v>27.9</v>
      </c>
      <c r="O145">
        <v>25</v>
      </c>
      <c r="P145">
        <v>321</v>
      </c>
      <c r="Q145" t="s">
        <v>22</v>
      </c>
      <c r="R145">
        <v>0.28000000000000003</v>
      </c>
      <c r="T145" s="4"/>
      <c r="U145" s="3"/>
      <c r="V145" s="3"/>
      <c r="X145" s="5"/>
      <c r="Y145" s="6"/>
      <c r="Z145" s="6"/>
      <c r="AA145" s="3"/>
      <c r="AB145" s="3"/>
      <c r="AE145" s="3"/>
    </row>
    <row r="146" spans="1:31" x14ac:dyDescent="0.35">
      <c r="A146">
        <v>143</v>
      </c>
      <c r="B146" t="s">
        <v>171</v>
      </c>
      <c r="C146" t="s">
        <v>172</v>
      </c>
      <c r="D146" t="s">
        <v>99</v>
      </c>
      <c r="E146" t="s">
        <v>21</v>
      </c>
      <c r="F146" s="1">
        <v>0.88900000000000001</v>
      </c>
      <c r="G146">
        <v>127</v>
      </c>
      <c r="H146">
        <v>89</v>
      </c>
      <c r="I146" t="s">
        <v>21</v>
      </c>
      <c r="J146">
        <v>152</v>
      </c>
      <c r="K146" t="s">
        <v>22</v>
      </c>
      <c r="L146">
        <f t="shared" si="2"/>
        <v>18145.839167134644</v>
      </c>
      <c r="M146">
        <v>3.2</v>
      </c>
      <c r="N146">
        <v>28.3</v>
      </c>
      <c r="O146" t="s">
        <v>22</v>
      </c>
      <c r="P146">
        <v>286</v>
      </c>
      <c r="Q146">
        <v>179</v>
      </c>
      <c r="R146">
        <v>0.32200000000000001</v>
      </c>
      <c r="T146" s="4"/>
      <c r="U146" s="3"/>
      <c r="V146" s="3"/>
      <c r="X146" s="5"/>
      <c r="Y146" s="6"/>
      <c r="Z146" s="6"/>
      <c r="AA146" s="3"/>
      <c r="AB146" s="3"/>
      <c r="AE146" s="3"/>
    </row>
    <row r="147" spans="1:31" x14ac:dyDescent="0.35">
      <c r="A147">
        <v>143</v>
      </c>
      <c r="B147" t="s">
        <v>173</v>
      </c>
      <c r="C147" t="s">
        <v>172</v>
      </c>
      <c r="D147" t="s">
        <v>99</v>
      </c>
      <c r="E147" t="s">
        <v>21</v>
      </c>
      <c r="F147" s="1">
        <v>0.88900000000000001</v>
      </c>
      <c r="G147">
        <v>127</v>
      </c>
      <c r="H147">
        <v>89</v>
      </c>
      <c r="I147" t="s">
        <v>21</v>
      </c>
      <c r="J147">
        <v>152</v>
      </c>
      <c r="K147" t="s">
        <v>22</v>
      </c>
      <c r="L147">
        <f t="shared" si="2"/>
        <v>18145.839167134644</v>
      </c>
      <c r="M147">
        <v>3.2</v>
      </c>
      <c r="N147">
        <v>27.3</v>
      </c>
      <c r="O147" t="s">
        <v>22</v>
      </c>
      <c r="P147">
        <v>286</v>
      </c>
      <c r="Q147">
        <v>172</v>
      </c>
      <c r="R147">
        <v>0.371</v>
      </c>
      <c r="T147" s="4"/>
      <c r="U147" s="3"/>
      <c r="V147" s="3"/>
      <c r="X147" s="5"/>
      <c r="Y147" s="6"/>
      <c r="Z147" s="6"/>
      <c r="AA147" s="3"/>
      <c r="AB147" s="3"/>
      <c r="AE147" s="3"/>
    </row>
    <row r="148" spans="1:31" x14ac:dyDescent="0.35">
      <c r="A148">
        <v>144</v>
      </c>
      <c r="B148">
        <v>1</v>
      </c>
      <c r="C148" t="s">
        <v>174</v>
      </c>
      <c r="D148" t="s">
        <v>48</v>
      </c>
      <c r="E148" t="s">
        <v>21</v>
      </c>
      <c r="F148" s="1">
        <v>2.165</v>
      </c>
      <c r="G148">
        <v>180</v>
      </c>
      <c r="H148">
        <v>150</v>
      </c>
      <c r="I148" t="s">
        <v>32</v>
      </c>
      <c r="J148">
        <v>250</v>
      </c>
      <c r="K148" t="s">
        <v>22</v>
      </c>
      <c r="L148">
        <f t="shared" si="2"/>
        <v>62500</v>
      </c>
      <c r="M148">
        <v>0.94</v>
      </c>
      <c r="N148">
        <v>23.1</v>
      </c>
      <c r="O148" t="s">
        <v>22</v>
      </c>
      <c r="P148">
        <v>681</v>
      </c>
      <c r="Q148" t="s">
        <v>22</v>
      </c>
      <c r="R148">
        <v>0.435</v>
      </c>
      <c r="T148" s="4"/>
      <c r="U148" s="3"/>
      <c r="V148" s="3"/>
      <c r="X148" s="5"/>
      <c r="Y148" s="6"/>
      <c r="Z148" s="6"/>
      <c r="AA148" s="3"/>
      <c r="AB148" s="3"/>
      <c r="AE148" s="3"/>
    </row>
    <row r="149" spans="1:31" x14ac:dyDescent="0.35">
      <c r="A149">
        <v>145</v>
      </c>
      <c r="B149" t="s">
        <v>175</v>
      </c>
      <c r="C149" t="s">
        <v>176</v>
      </c>
      <c r="D149" t="s">
        <v>48</v>
      </c>
      <c r="E149" t="s">
        <v>21</v>
      </c>
      <c r="F149" s="1">
        <v>1.5</v>
      </c>
      <c r="G149">
        <v>200</v>
      </c>
      <c r="H149">
        <v>167</v>
      </c>
      <c r="I149" t="s">
        <v>32</v>
      </c>
      <c r="J149">
        <v>300</v>
      </c>
      <c r="K149" t="s">
        <v>22</v>
      </c>
      <c r="L149">
        <f t="shared" si="2"/>
        <v>90000</v>
      </c>
      <c r="M149">
        <v>1.23</v>
      </c>
      <c r="N149">
        <v>17</v>
      </c>
      <c r="O149" t="s">
        <v>22</v>
      </c>
      <c r="P149">
        <v>811</v>
      </c>
      <c r="Q149" t="s">
        <v>22</v>
      </c>
      <c r="R149">
        <v>0.441</v>
      </c>
      <c r="T149" s="4"/>
      <c r="U149" s="3"/>
      <c r="V149" s="3"/>
      <c r="X149" s="5"/>
      <c r="Y149" s="6"/>
      <c r="Z149" s="6"/>
      <c r="AA149" s="3"/>
      <c r="AB149" s="3"/>
      <c r="AE149" s="3"/>
    </row>
    <row r="150" spans="1:31" x14ac:dyDescent="0.35">
      <c r="A150">
        <v>146</v>
      </c>
      <c r="B150" t="s">
        <v>177</v>
      </c>
      <c r="C150" t="s">
        <v>176</v>
      </c>
      <c r="D150" t="s">
        <v>48</v>
      </c>
      <c r="E150" t="s">
        <v>21</v>
      </c>
      <c r="F150" s="1">
        <v>1.5</v>
      </c>
      <c r="G150">
        <v>200</v>
      </c>
      <c r="H150">
        <v>164</v>
      </c>
      <c r="I150" t="s">
        <v>32</v>
      </c>
      <c r="J150">
        <v>300</v>
      </c>
      <c r="K150" t="s">
        <v>22</v>
      </c>
      <c r="L150">
        <f t="shared" si="2"/>
        <v>90000</v>
      </c>
      <c r="M150">
        <v>1.53</v>
      </c>
      <c r="N150">
        <v>20.5</v>
      </c>
      <c r="O150" t="s">
        <v>22</v>
      </c>
      <c r="P150">
        <v>568</v>
      </c>
      <c r="Q150" t="s">
        <v>22</v>
      </c>
      <c r="R150">
        <v>0.65800000000000003</v>
      </c>
      <c r="T150" s="4"/>
      <c r="U150" s="3"/>
      <c r="V150" s="3"/>
      <c r="X150" s="5"/>
      <c r="Y150" s="6"/>
      <c r="Z150" s="6"/>
      <c r="AA150" s="3"/>
      <c r="AB150" s="3"/>
      <c r="AE150" s="3"/>
    </row>
    <row r="151" spans="1:31" x14ac:dyDescent="0.35">
      <c r="A151">
        <v>147</v>
      </c>
      <c r="B151">
        <v>1</v>
      </c>
      <c r="C151" t="s">
        <v>178</v>
      </c>
      <c r="D151" t="s">
        <v>48</v>
      </c>
      <c r="E151" t="s">
        <v>21</v>
      </c>
      <c r="F151" s="1">
        <v>2.4</v>
      </c>
      <c r="G151">
        <v>228</v>
      </c>
      <c r="H151">
        <v>183</v>
      </c>
      <c r="I151" t="s">
        <v>32</v>
      </c>
      <c r="J151">
        <v>300</v>
      </c>
      <c r="K151" t="s">
        <v>22</v>
      </c>
      <c r="L151">
        <f t="shared" si="2"/>
        <v>90000</v>
      </c>
      <c r="M151">
        <v>0.86</v>
      </c>
      <c r="N151">
        <v>30.6</v>
      </c>
      <c r="O151" t="s">
        <v>22</v>
      </c>
      <c r="P151">
        <v>520</v>
      </c>
      <c r="Q151" t="s">
        <v>22</v>
      </c>
      <c r="R151">
        <v>0.85099999999999998</v>
      </c>
      <c r="T151" s="4"/>
      <c r="U151" s="3"/>
      <c r="V151" s="3"/>
      <c r="X151" s="5"/>
      <c r="Y151" s="6"/>
      <c r="Z151" s="6"/>
      <c r="AA151" s="3"/>
      <c r="AB151" s="3"/>
      <c r="AE151" s="3"/>
    </row>
    <row r="152" spans="1:31" x14ac:dyDescent="0.35">
      <c r="A152">
        <v>148</v>
      </c>
      <c r="B152" t="s">
        <v>179</v>
      </c>
      <c r="C152" t="s">
        <v>180</v>
      </c>
      <c r="D152" t="s">
        <v>48</v>
      </c>
      <c r="E152" t="s">
        <v>32</v>
      </c>
      <c r="F152" s="1">
        <v>1.83</v>
      </c>
      <c r="G152">
        <v>150</v>
      </c>
      <c r="H152">
        <v>120</v>
      </c>
      <c r="I152" t="s">
        <v>32</v>
      </c>
      <c r="J152">
        <v>250</v>
      </c>
      <c r="K152" t="s">
        <v>22</v>
      </c>
      <c r="L152">
        <f t="shared" si="2"/>
        <v>62500</v>
      </c>
      <c r="M152">
        <v>1.01</v>
      </c>
      <c r="N152">
        <v>67</v>
      </c>
      <c r="O152">
        <v>20</v>
      </c>
      <c r="P152">
        <v>490</v>
      </c>
      <c r="Q152" t="s">
        <v>22</v>
      </c>
      <c r="R152">
        <v>0.51100000000000001</v>
      </c>
      <c r="T152" s="4"/>
      <c r="U152" s="3"/>
      <c r="V152" s="3"/>
      <c r="X152" s="5"/>
      <c r="Y152" s="6"/>
      <c r="Z152" s="6"/>
      <c r="AA152" s="3"/>
      <c r="AB152" s="3"/>
      <c r="AE152" s="3"/>
    </row>
    <row r="153" spans="1:31" x14ac:dyDescent="0.35">
      <c r="A153">
        <v>149</v>
      </c>
      <c r="B153" t="s">
        <v>108</v>
      </c>
      <c r="C153" t="s">
        <v>181</v>
      </c>
      <c r="D153" t="s">
        <v>99</v>
      </c>
      <c r="E153" t="s">
        <v>21</v>
      </c>
      <c r="F153" s="1">
        <v>2.4</v>
      </c>
      <c r="G153">
        <v>230</v>
      </c>
      <c r="H153">
        <v>190</v>
      </c>
      <c r="I153" t="s">
        <v>32</v>
      </c>
      <c r="J153">
        <v>400</v>
      </c>
      <c r="K153" t="s">
        <v>22</v>
      </c>
      <c r="L153">
        <f t="shared" si="2"/>
        <v>160000</v>
      </c>
      <c r="M153">
        <v>0.81</v>
      </c>
      <c r="N153">
        <v>21.9</v>
      </c>
      <c r="O153">
        <v>16</v>
      </c>
      <c r="P153">
        <v>572</v>
      </c>
      <c r="Q153">
        <v>219</v>
      </c>
      <c r="R153">
        <v>0.61499999999999999</v>
      </c>
      <c r="T153" s="4"/>
      <c r="U153" s="3"/>
      <c r="V153" s="3"/>
      <c r="X153" s="5"/>
      <c r="Y153" s="6"/>
      <c r="Z153" s="6"/>
      <c r="AA153" s="3"/>
      <c r="AB153" s="3"/>
      <c r="AE153" s="3"/>
    </row>
    <row r="154" spans="1:31" x14ac:dyDescent="0.35">
      <c r="A154">
        <v>150</v>
      </c>
      <c r="B154" t="s">
        <v>182</v>
      </c>
      <c r="C154" t="s">
        <v>183</v>
      </c>
      <c r="D154" t="s">
        <v>48</v>
      </c>
      <c r="E154" t="s">
        <v>21</v>
      </c>
      <c r="F154" s="1">
        <v>1.581</v>
      </c>
      <c r="G154">
        <v>200</v>
      </c>
      <c r="H154">
        <v>160</v>
      </c>
      <c r="I154" t="s">
        <v>32</v>
      </c>
      <c r="J154">
        <v>290</v>
      </c>
      <c r="K154" t="s">
        <v>22</v>
      </c>
      <c r="L154">
        <f t="shared" si="2"/>
        <v>84100</v>
      </c>
      <c r="M154">
        <v>1.96</v>
      </c>
      <c r="N154">
        <v>73.2</v>
      </c>
      <c r="O154" t="s">
        <v>22</v>
      </c>
      <c r="P154">
        <v>500</v>
      </c>
      <c r="Q154" t="s">
        <v>22</v>
      </c>
      <c r="R154">
        <v>1.1000000000000001</v>
      </c>
      <c r="T154" s="4"/>
      <c r="U154" s="3"/>
      <c r="V154" s="3"/>
      <c r="X154" s="5"/>
      <c r="Y154" s="6"/>
      <c r="Z154" s="6"/>
      <c r="AA154" s="3"/>
      <c r="AB154" s="3"/>
      <c r="AE154" s="3"/>
    </row>
    <row r="155" spans="1:31" x14ac:dyDescent="0.35">
      <c r="A155">
        <v>151</v>
      </c>
      <c r="B155" t="s">
        <v>184</v>
      </c>
      <c r="C155" t="s">
        <v>183</v>
      </c>
      <c r="D155" t="s">
        <v>99</v>
      </c>
      <c r="E155" t="s">
        <v>21</v>
      </c>
      <c r="F155" s="1">
        <v>2.3719999999999999</v>
      </c>
      <c r="G155">
        <v>275</v>
      </c>
      <c r="H155">
        <v>230</v>
      </c>
      <c r="I155" t="s">
        <v>32</v>
      </c>
      <c r="J155">
        <v>400</v>
      </c>
      <c r="K155" t="s">
        <v>22</v>
      </c>
      <c r="L155">
        <f t="shared" si="2"/>
        <v>160000</v>
      </c>
      <c r="M155">
        <v>1.37</v>
      </c>
      <c r="N155">
        <v>69.2</v>
      </c>
      <c r="O155" t="s">
        <v>22</v>
      </c>
      <c r="P155">
        <v>500</v>
      </c>
      <c r="Q155" t="s">
        <v>22</v>
      </c>
      <c r="R155">
        <v>1.64</v>
      </c>
      <c r="T155" s="4"/>
      <c r="U155" s="3"/>
      <c r="V155" s="3"/>
      <c r="X155" s="5"/>
      <c r="Y155" s="6"/>
      <c r="Z155" s="6"/>
      <c r="AA155" s="3"/>
      <c r="AB155" s="3"/>
      <c r="AE155" s="3"/>
    </row>
    <row r="156" spans="1:31" x14ac:dyDescent="0.35">
      <c r="A156">
        <v>152</v>
      </c>
      <c r="B156">
        <v>1</v>
      </c>
      <c r="C156" t="s">
        <v>185</v>
      </c>
      <c r="D156" t="s">
        <v>48</v>
      </c>
      <c r="E156" t="s">
        <v>32</v>
      </c>
      <c r="F156" s="1">
        <v>1.5720000000000001</v>
      </c>
      <c r="G156">
        <v>130</v>
      </c>
      <c r="H156">
        <v>93</v>
      </c>
      <c r="I156" t="s">
        <v>32</v>
      </c>
      <c r="J156">
        <v>120</v>
      </c>
      <c r="K156" t="s">
        <v>22</v>
      </c>
      <c r="L156">
        <f t="shared" si="2"/>
        <v>14400</v>
      </c>
      <c r="M156">
        <v>1.5</v>
      </c>
      <c r="N156">
        <v>59</v>
      </c>
      <c r="O156" t="s">
        <v>22</v>
      </c>
      <c r="P156">
        <v>695</v>
      </c>
      <c r="Q156">
        <v>210</v>
      </c>
      <c r="R156">
        <v>0.27</v>
      </c>
      <c r="T156" s="4"/>
      <c r="U156" s="3"/>
      <c r="V156" s="3"/>
      <c r="X156" s="5"/>
      <c r="Y156" s="6"/>
      <c r="Z156" s="6"/>
      <c r="AA156" s="3"/>
      <c r="AB156" s="3"/>
      <c r="AE156" s="3"/>
    </row>
    <row r="157" spans="1:31" x14ac:dyDescent="0.35">
      <c r="A157">
        <v>153</v>
      </c>
      <c r="B157">
        <v>2</v>
      </c>
      <c r="C157" t="s">
        <v>185</v>
      </c>
      <c r="D157" t="s">
        <v>48</v>
      </c>
      <c r="E157" t="s">
        <v>32</v>
      </c>
      <c r="F157" s="1">
        <v>1.5720000000000001</v>
      </c>
      <c r="G157">
        <v>130</v>
      </c>
      <c r="H157">
        <v>97</v>
      </c>
      <c r="I157" t="s">
        <v>32</v>
      </c>
      <c r="J157">
        <v>120</v>
      </c>
      <c r="K157" t="s">
        <v>22</v>
      </c>
      <c r="L157">
        <f t="shared" si="2"/>
        <v>14400</v>
      </c>
      <c r="M157">
        <v>1.4</v>
      </c>
      <c r="N157">
        <v>60.9</v>
      </c>
      <c r="O157" t="s">
        <v>22</v>
      </c>
      <c r="P157">
        <v>695</v>
      </c>
      <c r="Q157" t="s">
        <v>22</v>
      </c>
      <c r="R157">
        <v>0.33500000000000002</v>
      </c>
      <c r="T157" s="4"/>
      <c r="U157" s="3"/>
      <c r="V157" s="3"/>
      <c r="X157" s="5"/>
      <c r="Y157" s="6"/>
      <c r="Z157" s="6"/>
      <c r="AA157" s="3"/>
      <c r="AB157" s="3"/>
      <c r="AE157" s="3"/>
    </row>
    <row r="158" spans="1:31" x14ac:dyDescent="0.35">
      <c r="A158">
        <v>154</v>
      </c>
      <c r="B158" t="s">
        <v>186</v>
      </c>
      <c r="C158" t="s">
        <v>187</v>
      </c>
      <c r="D158" t="s">
        <v>48</v>
      </c>
      <c r="E158" t="s">
        <v>32</v>
      </c>
      <c r="F158" s="1">
        <v>2.032</v>
      </c>
      <c r="G158">
        <v>165</v>
      </c>
      <c r="H158">
        <v>121</v>
      </c>
      <c r="I158" t="s">
        <v>32</v>
      </c>
      <c r="J158">
        <v>254</v>
      </c>
      <c r="K158" t="s">
        <v>22</v>
      </c>
      <c r="L158">
        <f t="shared" si="2"/>
        <v>64516</v>
      </c>
      <c r="M158">
        <v>0.79</v>
      </c>
      <c r="N158">
        <v>31.4</v>
      </c>
      <c r="O158" t="s">
        <v>22</v>
      </c>
      <c r="P158">
        <v>331</v>
      </c>
      <c r="Q158" t="s">
        <v>22</v>
      </c>
      <c r="R158">
        <v>0.28999999999999998</v>
      </c>
      <c r="T158" s="4"/>
      <c r="U158" s="3"/>
      <c r="V158" s="3"/>
      <c r="X158" s="5"/>
      <c r="Y158" s="6"/>
      <c r="Z158" s="6"/>
      <c r="AA158" s="3"/>
      <c r="AB158" s="3"/>
      <c r="AE158" s="3"/>
    </row>
    <row r="159" spans="1:31" x14ac:dyDescent="0.35">
      <c r="A159">
        <v>155</v>
      </c>
      <c r="B159" t="s">
        <v>188</v>
      </c>
      <c r="C159" t="s">
        <v>187</v>
      </c>
      <c r="D159" t="s">
        <v>48</v>
      </c>
      <c r="E159" t="s">
        <v>32</v>
      </c>
      <c r="F159" s="1">
        <v>2.032</v>
      </c>
      <c r="G159">
        <v>165</v>
      </c>
      <c r="H159">
        <v>122</v>
      </c>
      <c r="I159" t="s">
        <v>32</v>
      </c>
      <c r="J159">
        <v>254</v>
      </c>
      <c r="K159" t="s">
        <v>22</v>
      </c>
      <c r="L159">
        <f t="shared" si="2"/>
        <v>64516</v>
      </c>
      <c r="M159">
        <v>0.78</v>
      </c>
      <c r="N159">
        <v>28.1</v>
      </c>
      <c r="O159" t="s">
        <v>22</v>
      </c>
      <c r="P159">
        <v>331</v>
      </c>
      <c r="Q159" t="s">
        <v>22</v>
      </c>
      <c r="R159">
        <v>0.27300000000000002</v>
      </c>
      <c r="T159" s="4"/>
      <c r="U159" s="3"/>
      <c r="V159" s="3"/>
      <c r="X159" s="5"/>
      <c r="Y159" s="6"/>
      <c r="Z159" s="6"/>
      <c r="AA159" s="3"/>
      <c r="AB159" s="3"/>
      <c r="AE159" s="3"/>
    </row>
    <row r="160" spans="1:31" x14ac:dyDescent="0.35">
      <c r="A160">
        <v>156</v>
      </c>
      <c r="B160" t="s">
        <v>189</v>
      </c>
      <c r="C160" t="s">
        <v>187</v>
      </c>
      <c r="D160" t="s">
        <v>48</v>
      </c>
      <c r="E160" t="s">
        <v>32</v>
      </c>
      <c r="F160" s="1">
        <v>2.032</v>
      </c>
      <c r="G160">
        <v>165</v>
      </c>
      <c r="H160">
        <v>124</v>
      </c>
      <c r="I160" t="s">
        <v>32</v>
      </c>
      <c r="J160">
        <v>254</v>
      </c>
      <c r="K160" t="s">
        <v>22</v>
      </c>
      <c r="L160">
        <f t="shared" si="2"/>
        <v>64516</v>
      </c>
      <c r="M160">
        <v>1.54</v>
      </c>
      <c r="N160">
        <v>28.7</v>
      </c>
      <c r="O160" t="s">
        <v>22</v>
      </c>
      <c r="P160">
        <v>331</v>
      </c>
      <c r="Q160" t="s">
        <v>22</v>
      </c>
      <c r="R160">
        <v>0.46400000000000002</v>
      </c>
      <c r="T160" s="4"/>
      <c r="U160" s="3"/>
      <c r="V160" s="3"/>
      <c r="X160" s="5"/>
      <c r="Y160" s="6"/>
      <c r="Z160" s="6"/>
      <c r="AA160" s="3"/>
      <c r="AB160" s="3"/>
      <c r="AE160" s="3"/>
    </row>
    <row r="161" spans="1:31" x14ac:dyDescent="0.35">
      <c r="A161">
        <v>157</v>
      </c>
      <c r="B161" t="s">
        <v>190</v>
      </c>
      <c r="C161" t="s">
        <v>187</v>
      </c>
      <c r="D161" t="s">
        <v>48</v>
      </c>
      <c r="E161" t="s">
        <v>32</v>
      </c>
      <c r="F161" s="1">
        <v>2.032</v>
      </c>
      <c r="G161">
        <v>165</v>
      </c>
      <c r="H161">
        <v>122</v>
      </c>
      <c r="I161" t="s">
        <v>32</v>
      </c>
      <c r="J161">
        <v>254</v>
      </c>
      <c r="K161" t="s">
        <v>22</v>
      </c>
      <c r="L161">
        <f t="shared" si="2"/>
        <v>64516</v>
      </c>
      <c r="M161">
        <v>1.56</v>
      </c>
      <c r="N161">
        <v>29.1</v>
      </c>
      <c r="O161" t="s">
        <v>22</v>
      </c>
      <c r="P161">
        <v>331</v>
      </c>
      <c r="Q161" t="s">
        <v>22</v>
      </c>
      <c r="R161">
        <v>0.44</v>
      </c>
      <c r="T161" s="4"/>
      <c r="U161" s="3"/>
      <c r="V161" s="3"/>
      <c r="X161" s="5"/>
      <c r="Y161" s="6"/>
      <c r="Z161" s="6"/>
      <c r="AA161" s="3"/>
      <c r="AB161" s="3"/>
      <c r="AE161" s="3"/>
    </row>
    <row r="162" spans="1:31" x14ac:dyDescent="0.35">
      <c r="A162">
        <v>158</v>
      </c>
      <c r="B162">
        <v>1</v>
      </c>
      <c r="C162" t="s">
        <v>74</v>
      </c>
      <c r="D162" t="s">
        <v>48</v>
      </c>
      <c r="E162" t="s">
        <v>32</v>
      </c>
      <c r="F162" s="1">
        <v>0.85</v>
      </c>
      <c r="G162">
        <v>100</v>
      </c>
      <c r="H162">
        <v>75</v>
      </c>
      <c r="I162" t="s">
        <v>32</v>
      </c>
      <c r="J162">
        <v>150</v>
      </c>
      <c r="K162" t="s">
        <v>22</v>
      </c>
      <c r="L162">
        <f t="shared" si="2"/>
        <v>22500</v>
      </c>
      <c r="M162">
        <v>1.5</v>
      </c>
      <c r="N162">
        <v>22.7</v>
      </c>
      <c r="O162">
        <v>20</v>
      </c>
      <c r="P162">
        <v>480</v>
      </c>
      <c r="Q162" t="s">
        <v>22</v>
      </c>
      <c r="R162">
        <v>0.19700000000000001</v>
      </c>
      <c r="T162" s="4"/>
      <c r="U162" s="3"/>
      <c r="V162" s="3"/>
      <c r="X162" s="5"/>
      <c r="Y162" s="6"/>
      <c r="Z162" s="6"/>
      <c r="AA162" s="3"/>
      <c r="AB162" s="3"/>
      <c r="AE162" s="3"/>
    </row>
    <row r="163" spans="1:31" x14ac:dyDescent="0.35">
      <c r="A163">
        <v>159</v>
      </c>
      <c r="B163">
        <v>2</v>
      </c>
      <c r="C163" t="s">
        <v>74</v>
      </c>
      <c r="D163" t="s">
        <v>48</v>
      </c>
      <c r="E163" t="s">
        <v>32</v>
      </c>
      <c r="F163" s="1">
        <v>0.6</v>
      </c>
      <c r="G163">
        <v>100</v>
      </c>
      <c r="H163">
        <v>75</v>
      </c>
      <c r="I163" t="s">
        <v>32</v>
      </c>
      <c r="J163">
        <v>150</v>
      </c>
      <c r="K163" t="s">
        <v>22</v>
      </c>
      <c r="L163">
        <f t="shared" si="2"/>
        <v>22500</v>
      </c>
      <c r="M163">
        <v>1.5</v>
      </c>
      <c r="N163">
        <v>24.9</v>
      </c>
      <c r="O163">
        <v>20</v>
      </c>
      <c r="P163">
        <v>480</v>
      </c>
      <c r="Q163" t="s">
        <v>22</v>
      </c>
      <c r="R163">
        <v>0.22700000000000001</v>
      </c>
      <c r="T163" s="4"/>
      <c r="U163" s="3"/>
      <c r="V163" s="3"/>
      <c r="X163" s="5"/>
      <c r="Y163" s="6"/>
      <c r="Z163" s="6"/>
      <c r="AA163" s="3"/>
      <c r="AB163" s="3"/>
      <c r="AE163" s="3"/>
    </row>
    <row r="164" spans="1:31" x14ac:dyDescent="0.35">
      <c r="A164">
        <v>160</v>
      </c>
      <c r="B164">
        <v>3</v>
      </c>
      <c r="C164" t="s">
        <v>74</v>
      </c>
      <c r="D164" t="s">
        <v>48</v>
      </c>
      <c r="E164" t="s">
        <v>32</v>
      </c>
      <c r="F164" s="1">
        <v>0.35</v>
      </c>
      <c r="G164">
        <v>100</v>
      </c>
      <c r="H164">
        <v>75</v>
      </c>
      <c r="I164" t="s">
        <v>32</v>
      </c>
      <c r="J164">
        <v>150</v>
      </c>
      <c r="K164" t="s">
        <v>22</v>
      </c>
      <c r="L164">
        <f t="shared" si="2"/>
        <v>22500</v>
      </c>
      <c r="M164">
        <v>1.5</v>
      </c>
      <c r="N164">
        <v>28.4</v>
      </c>
      <c r="O164">
        <v>20</v>
      </c>
      <c r="P164">
        <v>480</v>
      </c>
      <c r="Q164" t="s">
        <v>22</v>
      </c>
      <c r="R164">
        <v>0.23499999999999999</v>
      </c>
      <c r="T164" s="4"/>
      <c r="U164" s="3"/>
      <c r="V164" s="3"/>
      <c r="X164" s="5"/>
      <c r="Y164" s="6"/>
      <c r="Z164" s="6"/>
      <c r="AA164" s="3"/>
      <c r="AB164" s="3"/>
      <c r="AE164" s="3"/>
    </row>
    <row r="165" spans="1:31" x14ac:dyDescent="0.35">
      <c r="A165">
        <v>161</v>
      </c>
      <c r="B165">
        <v>4</v>
      </c>
      <c r="C165" t="s">
        <v>74</v>
      </c>
      <c r="D165" t="s">
        <v>48</v>
      </c>
      <c r="E165" t="s">
        <v>32</v>
      </c>
      <c r="F165" s="1">
        <v>0.35</v>
      </c>
      <c r="G165">
        <v>100</v>
      </c>
      <c r="H165">
        <v>75</v>
      </c>
      <c r="I165" t="s">
        <v>32</v>
      </c>
      <c r="J165">
        <v>100</v>
      </c>
      <c r="K165" t="s">
        <v>22</v>
      </c>
      <c r="L165">
        <f t="shared" si="2"/>
        <v>10000</v>
      </c>
      <c r="M165">
        <v>1.5</v>
      </c>
      <c r="N165">
        <v>27.8</v>
      </c>
      <c r="O165">
        <v>20</v>
      </c>
      <c r="P165">
        <v>480</v>
      </c>
      <c r="Q165" t="s">
        <v>22</v>
      </c>
      <c r="R165">
        <v>0.185</v>
      </c>
      <c r="T165" s="4"/>
      <c r="U165" s="3"/>
      <c r="V165" s="3"/>
      <c r="X165" s="5"/>
      <c r="Y165" s="6"/>
      <c r="Z165" s="6"/>
      <c r="AA165" s="3"/>
      <c r="AB165" s="3"/>
      <c r="AE165" s="3"/>
    </row>
    <row r="166" spans="1:31" x14ac:dyDescent="0.35">
      <c r="A166">
        <v>162</v>
      </c>
      <c r="B166">
        <v>8</v>
      </c>
      <c r="C166" t="s">
        <v>74</v>
      </c>
      <c r="D166" t="s">
        <v>48</v>
      </c>
      <c r="E166" t="s">
        <v>32</v>
      </c>
      <c r="F166" s="1">
        <v>0.35</v>
      </c>
      <c r="G166">
        <v>100</v>
      </c>
      <c r="H166">
        <v>75</v>
      </c>
      <c r="I166" t="s">
        <v>32</v>
      </c>
      <c r="J166">
        <v>100</v>
      </c>
      <c r="K166" t="s">
        <v>22</v>
      </c>
      <c r="L166">
        <f t="shared" si="2"/>
        <v>10000</v>
      </c>
      <c r="M166">
        <v>0.75</v>
      </c>
      <c r="N166">
        <v>35.200000000000003</v>
      </c>
      <c r="O166">
        <v>20</v>
      </c>
      <c r="P166">
        <v>480</v>
      </c>
      <c r="Q166" t="s">
        <v>22</v>
      </c>
      <c r="R166">
        <v>0.17199999999999999</v>
      </c>
      <c r="T166" s="4"/>
      <c r="U166" s="3"/>
      <c r="V166" s="3"/>
      <c r="X166" s="5"/>
      <c r="Y166" s="6"/>
      <c r="Z166" s="6"/>
      <c r="AA166" s="3"/>
      <c r="AB166" s="3"/>
      <c r="AE166" s="3"/>
    </row>
    <row r="167" spans="1:31" x14ac:dyDescent="0.35">
      <c r="A167">
        <v>163</v>
      </c>
      <c r="B167">
        <v>11</v>
      </c>
      <c r="C167" t="s">
        <v>74</v>
      </c>
      <c r="D167" t="s">
        <v>48</v>
      </c>
      <c r="E167" t="s">
        <v>32</v>
      </c>
      <c r="F167" s="1">
        <v>0.35</v>
      </c>
      <c r="G167">
        <v>100</v>
      </c>
      <c r="H167">
        <v>75</v>
      </c>
      <c r="I167" t="s">
        <v>32</v>
      </c>
      <c r="J167">
        <v>100</v>
      </c>
      <c r="K167" t="s">
        <v>22</v>
      </c>
      <c r="L167">
        <f t="shared" si="2"/>
        <v>10000</v>
      </c>
      <c r="M167">
        <v>1.5</v>
      </c>
      <c r="N167">
        <v>38</v>
      </c>
      <c r="O167">
        <v>20</v>
      </c>
      <c r="P167">
        <v>480</v>
      </c>
      <c r="Q167" t="s">
        <v>22</v>
      </c>
      <c r="R167">
        <v>0.182</v>
      </c>
      <c r="T167" s="4"/>
      <c r="U167" s="3"/>
      <c r="V167" s="3"/>
      <c r="X167" s="5"/>
      <c r="Y167" s="6"/>
      <c r="Z167" s="6"/>
      <c r="AA167" s="3"/>
      <c r="AB167" s="3"/>
      <c r="AE167" s="3"/>
    </row>
    <row r="168" spans="1:31" x14ac:dyDescent="0.35">
      <c r="A168">
        <v>164</v>
      </c>
      <c r="B168">
        <v>13</v>
      </c>
      <c r="C168" t="s">
        <v>74</v>
      </c>
      <c r="D168" t="s">
        <v>48</v>
      </c>
      <c r="E168" t="s">
        <v>32</v>
      </c>
      <c r="F168" s="1">
        <v>0.35</v>
      </c>
      <c r="G168">
        <v>100</v>
      </c>
      <c r="H168">
        <v>75</v>
      </c>
      <c r="I168" t="s">
        <v>32</v>
      </c>
      <c r="J168">
        <v>100</v>
      </c>
      <c r="K168" t="s">
        <v>22</v>
      </c>
      <c r="L168">
        <f t="shared" si="2"/>
        <v>10000</v>
      </c>
      <c r="M168">
        <v>1.5</v>
      </c>
      <c r="N168">
        <v>12.2</v>
      </c>
      <c r="O168">
        <v>20</v>
      </c>
      <c r="P168">
        <v>480</v>
      </c>
      <c r="Q168" t="s">
        <v>22</v>
      </c>
      <c r="R168">
        <v>0.109</v>
      </c>
      <c r="T168" s="4"/>
      <c r="U168" s="3"/>
      <c r="V168" s="3"/>
      <c r="X168" s="5"/>
      <c r="Y168" s="6"/>
      <c r="Z168" s="6"/>
      <c r="AA168" s="3"/>
      <c r="AB168" s="3"/>
      <c r="AE168" s="3"/>
    </row>
    <row r="169" spans="1:31" x14ac:dyDescent="0.35">
      <c r="A169">
        <v>165</v>
      </c>
      <c r="B169">
        <v>15</v>
      </c>
      <c r="C169" t="s">
        <v>74</v>
      </c>
      <c r="D169" t="s">
        <v>48</v>
      </c>
      <c r="E169" t="s">
        <v>32</v>
      </c>
      <c r="F169" s="1">
        <v>0.4</v>
      </c>
      <c r="G169">
        <v>100</v>
      </c>
      <c r="H169">
        <v>75</v>
      </c>
      <c r="I169" t="s">
        <v>32</v>
      </c>
      <c r="J169">
        <v>200</v>
      </c>
      <c r="K169" t="s">
        <v>22</v>
      </c>
      <c r="L169">
        <f t="shared" si="2"/>
        <v>40000</v>
      </c>
      <c r="M169">
        <v>1.5</v>
      </c>
      <c r="N169">
        <v>37.700000000000003</v>
      </c>
      <c r="O169">
        <v>20</v>
      </c>
      <c r="P169">
        <v>480</v>
      </c>
      <c r="Q169" t="s">
        <v>22</v>
      </c>
      <c r="R169">
        <v>0.36799999999999999</v>
      </c>
      <c r="T169" s="4"/>
      <c r="U169" s="3"/>
      <c r="V169" s="3"/>
      <c r="X169" s="5"/>
      <c r="Y169" s="6"/>
      <c r="Z169" s="6"/>
      <c r="AA169" s="3"/>
      <c r="AB169" s="3"/>
      <c r="AE169" s="3"/>
    </row>
    <row r="170" spans="1:31" x14ac:dyDescent="0.35">
      <c r="A170">
        <v>166</v>
      </c>
      <c r="B170" t="s">
        <v>191</v>
      </c>
      <c r="C170" t="s">
        <v>192</v>
      </c>
      <c r="D170" t="s">
        <v>31</v>
      </c>
      <c r="E170" t="s">
        <v>32</v>
      </c>
      <c r="F170" s="1">
        <v>2</v>
      </c>
      <c r="G170">
        <v>178</v>
      </c>
      <c r="H170">
        <v>143</v>
      </c>
      <c r="I170" t="s">
        <v>32</v>
      </c>
      <c r="J170">
        <v>305</v>
      </c>
      <c r="K170" t="s">
        <v>22</v>
      </c>
      <c r="L170">
        <f t="shared" si="2"/>
        <v>93025</v>
      </c>
      <c r="M170">
        <v>1.61</v>
      </c>
      <c r="N170">
        <v>33</v>
      </c>
      <c r="O170">
        <v>19</v>
      </c>
      <c r="P170">
        <v>398</v>
      </c>
      <c r="Q170" t="s">
        <v>22</v>
      </c>
      <c r="R170">
        <v>0.68700000000000006</v>
      </c>
      <c r="T170" s="4"/>
      <c r="U170" s="3"/>
      <c r="V170" s="3"/>
      <c r="X170" s="5"/>
      <c r="Y170" s="6"/>
      <c r="Z170" s="6"/>
      <c r="AA170" s="3"/>
      <c r="AB170" s="3"/>
      <c r="AE170" s="3"/>
    </row>
    <row r="171" spans="1:31" x14ac:dyDescent="0.35">
      <c r="A171">
        <v>167</v>
      </c>
      <c r="B171" t="s">
        <v>193</v>
      </c>
      <c r="C171" t="s">
        <v>192</v>
      </c>
      <c r="D171" t="s">
        <v>31</v>
      </c>
      <c r="E171" t="s">
        <v>32</v>
      </c>
      <c r="F171" s="1">
        <v>2</v>
      </c>
      <c r="G171">
        <v>178</v>
      </c>
      <c r="H171">
        <v>143</v>
      </c>
      <c r="I171" t="s">
        <v>32</v>
      </c>
      <c r="J171">
        <v>305</v>
      </c>
      <c r="K171" t="s">
        <v>22</v>
      </c>
      <c r="L171">
        <f t="shared" si="2"/>
        <v>93025</v>
      </c>
      <c r="M171">
        <v>1.41</v>
      </c>
      <c r="N171">
        <v>30.4</v>
      </c>
      <c r="O171">
        <v>19</v>
      </c>
      <c r="P171">
        <v>398</v>
      </c>
      <c r="Q171" t="s">
        <v>22</v>
      </c>
      <c r="R171">
        <v>0.58799999999999997</v>
      </c>
      <c r="T171" s="4"/>
      <c r="U171" s="3"/>
      <c r="V171" s="3"/>
      <c r="X171" s="5"/>
      <c r="Y171" s="6"/>
      <c r="Z171" s="6"/>
      <c r="AA171" s="3"/>
      <c r="AB171" s="3"/>
      <c r="AE171" s="3"/>
    </row>
    <row r="172" spans="1:31" x14ac:dyDescent="0.35">
      <c r="A172">
        <v>168</v>
      </c>
      <c r="B172">
        <v>1</v>
      </c>
      <c r="C172" t="s">
        <v>178</v>
      </c>
      <c r="D172" t="s">
        <v>31</v>
      </c>
      <c r="E172" t="s">
        <v>21</v>
      </c>
      <c r="F172" s="1">
        <v>2.4</v>
      </c>
      <c r="G172">
        <v>240</v>
      </c>
      <c r="H172">
        <v>200</v>
      </c>
      <c r="I172" t="s">
        <v>32</v>
      </c>
      <c r="J172">
        <v>300</v>
      </c>
      <c r="K172" t="s">
        <v>22</v>
      </c>
      <c r="L172">
        <f t="shared" si="2"/>
        <v>90000</v>
      </c>
      <c r="M172">
        <v>0.79</v>
      </c>
      <c r="N172">
        <v>28.6</v>
      </c>
      <c r="O172">
        <v>20</v>
      </c>
      <c r="P172">
        <v>500</v>
      </c>
      <c r="Q172" t="s">
        <v>22</v>
      </c>
      <c r="R172">
        <v>0.80500000000000005</v>
      </c>
      <c r="T172" s="4"/>
      <c r="U172" s="3"/>
      <c r="V172" s="3"/>
      <c r="X172" s="5"/>
      <c r="Y172" s="6"/>
      <c r="Z172" s="6"/>
      <c r="AA172" s="3"/>
      <c r="AB172" s="3"/>
      <c r="AE172" s="3"/>
    </row>
    <row r="173" spans="1:31" x14ac:dyDescent="0.35">
      <c r="A173">
        <v>169</v>
      </c>
      <c r="B173" t="s">
        <v>194</v>
      </c>
      <c r="C173" t="s">
        <v>195</v>
      </c>
      <c r="D173" t="s">
        <v>48</v>
      </c>
      <c r="E173" t="s">
        <v>32</v>
      </c>
      <c r="F173" s="1">
        <v>2.742</v>
      </c>
      <c r="G173">
        <v>200</v>
      </c>
      <c r="H173">
        <v>159</v>
      </c>
      <c r="I173" t="s">
        <v>32</v>
      </c>
      <c r="J173">
        <v>200</v>
      </c>
      <c r="K173" t="s">
        <v>22</v>
      </c>
      <c r="L173">
        <f t="shared" si="2"/>
        <v>40000</v>
      </c>
      <c r="M173">
        <v>1.26</v>
      </c>
      <c r="N173">
        <v>40.6</v>
      </c>
      <c r="O173">
        <v>20</v>
      </c>
      <c r="P173">
        <v>680</v>
      </c>
      <c r="Q173">
        <v>200</v>
      </c>
      <c r="R173">
        <v>0.58699999999999997</v>
      </c>
      <c r="T173" s="4"/>
      <c r="U173" s="3"/>
      <c r="V173" s="3"/>
      <c r="X173" s="5"/>
      <c r="Y173" s="6"/>
      <c r="Z173" s="6"/>
      <c r="AA173" s="3"/>
      <c r="AB173" s="3"/>
      <c r="AE173" s="3"/>
    </row>
    <row r="174" spans="1:31" x14ac:dyDescent="0.35">
      <c r="A174">
        <v>170</v>
      </c>
      <c r="B174">
        <v>1</v>
      </c>
      <c r="C174" t="s">
        <v>195</v>
      </c>
      <c r="D174" t="s">
        <v>48</v>
      </c>
      <c r="E174" t="s">
        <v>32</v>
      </c>
      <c r="F174" s="1">
        <v>2.742</v>
      </c>
      <c r="G174">
        <v>200</v>
      </c>
      <c r="H174">
        <v>159</v>
      </c>
      <c r="I174" t="s">
        <v>32</v>
      </c>
      <c r="J174">
        <v>200</v>
      </c>
      <c r="K174" t="s">
        <v>22</v>
      </c>
      <c r="L174">
        <f t="shared" si="2"/>
        <v>40000</v>
      </c>
      <c r="M174">
        <v>1.26</v>
      </c>
      <c r="N174">
        <v>39.700000000000003</v>
      </c>
      <c r="O174">
        <v>20</v>
      </c>
      <c r="P174">
        <v>680</v>
      </c>
      <c r="Q174">
        <v>200</v>
      </c>
      <c r="R174">
        <v>0.56000000000000005</v>
      </c>
      <c r="T174" s="4"/>
      <c r="U174" s="3"/>
      <c r="V174" s="3"/>
      <c r="X174" s="5"/>
      <c r="Y174" s="6"/>
      <c r="Z174" s="6"/>
      <c r="AA174" s="3"/>
      <c r="AB174" s="3"/>
      <c r="AE174" s="3"/>
    </row>
    <row r="175" spans="1:31" x14ac:dyDescent="0.35">
      <c r="A175">
        <v>171</v>
      </c>
      <c r="B175" t="s">
        <v>196</v>
      </c>
      <c r="C175" t="s">
        <v>197</v>
      </c>
      <c r="D175" t="s">
        <v>48</v>
      </c>
      <c r="E175" t="s">
        <v>32</v>
      </c>
      <c r="F175" s="1">
        <v>1.8</v>
      </c>
      <c r="G175">
        <v>150</v>
      </c>
      <c r="H175">
        <v>116</v>
      </c>
      <c r="I175" t="s">
        <v>32</v>
      </c>
      <c r="J175">
        <v>250</v>
      </c>
      <c r="K175" t="s">
        <v>22</v>
      </c>
      <c r="L175">
        <f t="shared" si="2"/>
        <v>62500</v>
      </c>
      <c r="M175">
        <v>1.41</v>
      </c>
      <c r="N175">
        <v>34.9</v>
      </c>
      <c r="O175" t="s">
        <v>22</v>
      </c>
      <c r="P175">
        <v>516</v>
      </c>
      <c r="Q175">
        <v>210</v>
      </c>
      <c r="R175">
        <v>0.40799999999999997</v>
      </c>
      <c r="T175" s="4"/>
      <c r="U175" s="3"/>
      <c r="V175" s="3"/>
      <c r="X175" s="5"/>
      <c r="Y175" s="6"/>
      <c r="Z175" s="6"/>
      <c r="AA175" s="3"/>
      <c r="AB175" s="3"/>
      <c r="AE175" s="3"/>
    </row>
    <row r="176" spans="1:31" x14ac:dyDescent="0.35">
      <c r="A176">
        <v>172</v>
      </c>
      <c r="B176" t="s">
        <v>198</v>
      </c>
      <c r="C176" t="s">
        <v>199</v>
      </c>
      <c r="D176" t="s">
        <v>48</v>
      </c>
      <c r="E176" t="s">
        <v>32</v>
      </c>
      <c r="F176" s="1">
        <v>1.8</v>
      </c>
      <c r="G176">
        <v>150</v>
      </c>
      <c r="H176">
        <v>113</v>
      </c>
      <c r="I176" t="s">
        <v>32</v>
      </c>
      <c r="J176">
        <v>250</v>
      </c>
      <c r="K176" t="s">
        <v>22</v>
      </c>
      <c r="L176">
        <f t="shared" si="2"/>
        <v>62500</v>
      </c>
      <c r="M176">
        <v>1.54</v>
      </c>
      <c r="N176">
        <v>31.2</v>
      </c>
      <c r="O176" t="s">
        <v>22</v>
      </c>
      <c r="P176">
        <v>479</v>
      </c>
      <c r="Q176">
        <v>210</v>
      </c>
      <c r="R176">
        <v>0.375</v>
      </c>
      <c r="T176" s="4"/>
      <c r="U176" s="3"/>
      <c r="V176" s="3"/>
      <c r="X176" s="5"/>
      <c r="Y176" s="6"/>
      <c r="Z176" s="6"/>
      <c r="AA176" s="3"/>
      <c r="AB176" s="3"/>
      <c r="AE176" s="3"/>
    </row>
    <row r="177" spans="1:31" x14ac:dyDescent="0.35">
      <c r="A177">
        <v>173</v>
      </c>
      <c r="B177" t="s">
        <v>200</v>
      </c>
      <c r="C177" t="s">
        <v>201</v>
      </c>
      <c r="D177" t="s">
        <v>48</v>
      </c>
      <c r="E177" t="s">
        <v>21</v>
      </c>
      <c r="F177" s="1">
        <v>1.7</v>
      </c>
      <c r="G177">
        <v>175</v>
      </c>
      <c r="H177">
        <v>139</v>
      </c>
      <c r="I177" t="s">
        <v>32</v>
      </c>
      <c r="J177">
        <v>200</v>
      </c>
      <c r="K177" t="s">
        <v>22</v>
      </c>
      <c r="L177">
        <f t="shared" si="2"/>
        <v>40000</v>
      </c>
      <c r="M177">
        <v>0.72</v>
      </c>
      <c r="N177">
        <v>25.5</v>
      </c>
      <c r="O177" t="s">
        <v>22</v>
      </c>
      <c r="P177">
        <v>500</v>
      </c>
      <c r="Q177">
        <v>210</v>
      </c>
      <c r="R177">
        <v>0.45400000000000001</v>
      </c>
      <c r="T177" s="4"/>
      <c r="U177" s="3"/>
      <c r="V177" s="3"/>
      <c r="X177" s="5"/>
      <c r="Y177" s="6"/>
      <c r="Z177" s="6"/>
      <c r="AA177" s="3"/>
      <c r="AB177" s="3"/>
      <c r="AE177" s="3"/>
    </row>
    <row r="178" spans="1:31" x14ac:dyDescent="0.35">
      <c r="A178">
        <v>174</v>
      </c>
      <c r="B178" t="s">
        <v>202</v>
      </c>
      <c r="C178" t="s">
        <v>203</v>
      </c>
      <c r="D178" t="s">
        <v>99</v>
      </c>
      <c r="E178" t="s">
        <v>21</v>
      </c>
      <c r="F178" s="1">
        <v>2</v>
      </c>
      <c r="G178">
        <v>160</v>
      </c>
      <c r="H178">
        <v>124</v>
      </c>
      <c r="I178" t="s">
        <v>32</v>
      </c>
      <c r="J178">
        <v>250</v>
      </c>
      <c r="K178" t="s">
        <v>22</v>
      </c>
      <c r="L178">
        <f t="shared" si="2"/>
        <v>62500</v>
      </c>
      <c r="M178">
        <v>1.54</v>
      </c>
      <c r="N178">
        <v>35.1</v>
      </c>
      <c r="O178">
        <v>14</v>
      </c>
      <c r="P178">
        <v>488</v>
      </c>
      <c r="Q178">
        <v>201</v>
      </c>
      <c r="R178">
        <v>0.48299999999999998</v>
      </c>
      <c r="T178" s="4"/>
      <c r="U178" s="3"/>
      <c r="V178" s="3"/>
      <c r="X178" s="5"/>
      <c r="Y178" s="6"/>
      <c r="Z178" s="6"/>
      <c r="AA178" s="3"/>
      <c r="AB178" s="3"/>
      <c r="AE178" s="3"/>
    </row>
    <row r="179" spans="1:31" x14ac:dyDescent="0.35">
      <c r="A179">
        <v>175</v>
      </c>
      <c r="B179" t="s">
        <v>204</v>
      </c>
      <c r="C179" t="s">
        <v>203</v>
      </c>
      <c r="D179" t="s">
        <v>99</v>
      </c>
      <c r="E179" t="s">
        <v>21</v>
      </c>
      <c r="F179" s="1">
        <v>3</v>
      </c>
      <c r="G179">
        <v>230</v>
      </c>
      <c r="H179">
        <v>190</v>
      </c>
      <c r="I179" t="s">
        <v>32</v>
      </c>
      <c r="J179">
        <v>300</v>
      </c>
      <c r="K179" t="s">
        <v>22</v>
      </c>
      <c r="L179">
        <f t="shared" si="2"/>
        <v>90000</v>
      </c>
      <c r="M179">
        <v>1.3</v>
      </c>
      <c r="N179">
        <v>33.9</v>
      </c>
      <c r="O179">
        <v>20</v>
      </c>
      <c r="P179">
        <v>531</v>
      </c>
      <c r="Q179">
        <v>205</v>
      </c>
      <c r="R179">
        <v>0.82499999999999996</v>
      </c>
      <c r="T179" s="4"/>
      <c r="U179" s="3"/>
      <c r="V179" s="3"/>
      <c r="X179" s="5"/>
      <c r="Y179" s="6"/>
      <c r="Z179" s="6"/>
      <c r="AA179" s="3"/>
      <c r="AB179" s="3"/>
      <c r="AE179" s="3"/>
    </row>
    <row r="180" spans="1:31" x14ac:dyDescent="0.35">
      <c r="A180">
        <v>176</v>
      </c>
      <c r="B180" t="s">
        <v>205</v>
      </c>
      <c r="C180" t="s">
        <v>203</v>
      </c>
      <c r="D180" t="s">
        <v>99</v>
      </c>
      <c r="E180" t="s">
        <v>21</v>
      </c>
      <c r="F180" s="1">
        <v>3.8</v>
      </c>
      <c r="G180">
        <v>300</v>
      </c>
      <c r="H180">
        <v>260</v>
      </c>
      <c r="I180" t="s">
        <v>32</v>
      </c>
      <c r="J180">
        <v>350</v>
      </c>
      <c r="K180" t="s">
        <v>22</v>
      </c>
      <c r="L180">
        <f t="shared" si="2"/>
        <v>122500</v>
      </c>
      <c r="M180">
        <v>1.1000000000000001</v>
      </c>
      <c r="N180">
        <v>30.4</v>
      </c>
      <c r="O180">
        <v>20</v>
      </c>
      <c r="P180">
        <v>524</v>
      </c>
      <c r="Q180">
        <v>203</v>
      </c>
      <c r="R180">
        <v>1.046</v>
      </c>
      <c r="T180" s="4"/>
      <c r="U180" s="3"/>
      <c r="V180" s="3"/>
      <c r="X180" s="5"/>
      <c r="Y180" s="6"/>
      <c r="Z180" s="6"/>
      <c r="AA180" s="3"/>
      <c r="AB180" s="3"/>
      <c r="AE180" s="3"/>
    </row>
    <row r="181" spans="1:31" x14ac:dyDescent="0.35">
      <c r="A181">
        <v>177</v>
      </c>
      <c r="B181" t="s">
        <v>0</v>
      </c>
      <c r="C181" t="s">
        <v>206</v>
      </c>
      <c r="D181" t="s">
        <v>48</v>
      </c>
      <c r="E181" t="s">
        <v>21</v>
      </c>
      <c r="F181" s="1">
        <v>2.16</v>
      </c>
      <c r="G181">
        <v>250</v>
      </c>
      <c r="H181">
        <v>205</v>
      </c>
      <c r="I181" t="s">
        <v>21</v>
      </c>
      <c r="J181">
        <v>300</v>
      </c>
      <c r="K181" t="s">
        <v>22</v>
      </c>
      <c r="L181">
        <f t="shared" si="2"/>
        <v>70685.83470577035</v>
      </c>
      <c r="M181">
        <v>1.53</v>
      </c>
      <c r="N181">
        <v>47.4</v>
      </c>
      <c r="O181" t="s">
        <v>22</v>
      </c>
      <c r="P181">
        <v>500</v>
      </c>
      <c r="Q181" t="s">
        <v>22</v>
      </c>
      <c r="R181">
        <v>1.2529999999999999</v>
      </c>
      <c r="T181" s="4"/>
      <c r="U181" s="3"/>
      <c r="V181" s="3"/>
      <c r="X181" s="5"/>
      <c r="Y181" s="6"/>
      <c r="Z181" s="6"/>
      <c r="AA181" s="3"/>
      <c r="AB181" s="3"/>
      <c r="AE181" s="3"/>
    </row>
    <row r="182" spans="1:31" x14ac:dyDescent="0.35">
      <c r="A182">
        <v>178</v>
      </c>
      <c r="B182" t="s">
        <v>1</v>
      </c>
      <c r="C182" t="s">
        <v>206</v>
      </c>
      <c r="D182" t="s">
        <v>48</v>
      </c>
      <c r="E182" t="s">
        <v>21</v>
      </c>
      <c r="F182" s="1">
        <v>2.16</v>
      </c>
      <c r="G182">
        <v>250</v>
      </c>
      <c r="H182">
        <v>205</v>
      </c>
      <c r="I182" t="s">
        <v>21</v>
      </c>
      <c r="J182">
        <v>300</v>
      </c>
      <c r="K182" t="s">
        <v>22</v>
      </c>
      <c r="L182">
        <f t="shared" si="2"/>
        <v>70685.83470577035</v>
      </c>
      <c r="M182">
        <v>1.53</v>
      </c>
      <c r="N182">
        <v>45.8</v>
      </c>
      <c r="O182" t="s">
        <v>22</v>
      </c>
      <c r="P182">
        <v>500</v>
      </c>
      <c r="Q182" t="s">
        <v>22</v>
      </c>
      <c r="R182">
        <v>1.19</v>
      </c>
      <c r="T182" s="4"/>
      <c r="U182" s="3"/>
      <c r="V182" s="3"/>
      <c r="X182" s="5"/>
      <c r="Y182" s="6"/>
      <c r="Z182" s="6"/>
      <c r="AA182" s="3"/>
      <c r="AB182" s="3"/>
      <c r="AE182" s="3"/>
    </row>
    <row r="183" spans="1:31" x14ac:dyDescent="0.35">
      <c r="A183">
        <v>179</v>
      </c>
      <c r="B183" t="s">
        <v>207</v>
      </c>
      <c r="C183" t="s">
        <v>208</v>
      </c>
      <c r="D183" t="s">
        <v>48</v>
      </c>
      <c r="E183" t="s">
        <v>21</v>
      </c>
      <c r="F183" s="1">
        <v>2.76</v>
      </c>
      <c r="G183">
        <v>250</v>
      </c>
      <c r="H183">
        <v>193</v>
      </c>
      <c r="I183" t="s">
        <v>32</v>
      </c>
      <c r="J183">
        <v>130</v>
      </c>
      <c r="K183" t="s">
        <v>22</v>
      </c>
      <c r="L183">
        <f t="shared" si="2"/>
        <v>16900</v>
      </c>
      <c r="M183">
        <v>1.63</v>
      </c>
      <c r="N183">
        <v>36.200000000000003</v>
      </c>
      <c r="O183">
        <v>16</v>
      </c>
      <c r="P183">
        <v>583</v>
      </c>
      <c r="Q183" t="s">
        <v>22</v>
      </c>
      <c r="R183">
        <v>0.68200000000000005</v>
      </c>
      <c r="T183" s="4"/>
      <c r="U183" s="3"/>
      <c r="V183" s="3"/>
      <c r="X183" s="5"/>
      <c r="Y183" s="6"/>
      <c r="Z183" s="6"/>
      <c r="AA183" s="3"/>
      <c r="AB183" s="3"/>
      <c r="AE183" s="3"/>
    </row>
    <row r="184" spans="1:31" x14ac:dyDescent="0.35">
      <c r="A184">
        <v>180</v>
      </c>
      <c r="B184" t="s">
        <v>209</v>
      </c>
      <c r="C184" t="s">
        <v>208</v>
      </c>
      <c r="D184" t="s">
        <v>48</v>
      </c>
      <c r="E184" t="s">
        <v>21</v>
      </c>
      <c r="F184" s="1">
        <v>2.76</v>
      </c>
      <c r="G184">
        <v>250</v>
      </c>
      <c r="H184">
        <v>210</v>
      </c>
      <c r="I184" t="s">
        <v>32</v>
      </c>
      <c r="J184">
        <v>260</v>
      </c>
      <c r="K184" t="s">
        <v>22</v>
      </c>
      <c r="L184">
        <f t="shared" si="2"/>
        <v>67600</v>
      </c>
      <c r="M184">
        <v>1.5</v>
      </c>
      <c r="N184">
        <v>34</v>
      </c>
      <c r="O184">
        <v>16</v>
      </c>
      <c r="P184">
        <v>709</v>
      </c>
      <c r="Q184" t="s">
        <v>22</v>
      </c>
      <c r="R184">
        <v>0.97399999999999998</v>
      </c>
      <c r="T184" s="4"/>
      <c r="U184" s="3"/>
      <c r="V184" s="3"/>
      <c r="X184" s="5"/>
      <c r="Y184" s="6"/>
      <c r="Z184" s="6"/>
      <c r="AA184" s="3"/>
      <c r="AB184" s="3"/>
      <c r="AE184" s="3"/>
    </row>
    <row r="185" spans="1:31" x14ac:dyDescent="0.35">
      <c r="A185">
        <v>181</v>
      </c>
      <c r="B185" t="s">
        <v>210</v>
      </c>
      <c r="C185" t="s">
        <v>208</v>
      </c>
      <c r="D185" t="s">
        <v>48</v>
      </c>
      <c r="E185" t="s">
        <v>21</v>
      </c>
      <c r="F185" s="1">
        <v>2.76</v>
      </c>
      <c r="G185">
        <v>250</v>
      </c>
      <c r="H185">
        <v>197</v>
      </c>
      <c r="I185" t="s">
        <v>32</v>
      </c>
      <c r="J185">
        <v>520</v>
      </c>
      <c r="K185" t="s">
        <v>22</v>
      </c>
      <c r="L185">
        <f t="shared" si="2"/>
        <v>270400</v>
      </c>
      <c r="M185">
        <v>1.59</v>
      </c>
      <c r="N185">
        <v>36.5</v>
      </c>
      <c r="O185">
        <v>16</v>
      </c>
      <c r="P185">
        <v>583</v>
      </c>
      <c r="Q185" t="s">
        <v>22</v>
      </c>
      <c r="R185">
        <v>1.3240000000000001</v>
      </c>
      <c r="T185" s="4"/>
      <c r="U185" s="3"/>
      <c r="V185" s="3"/>
      <c r="X185" s="5"/>
      <c r="Y185" s="6"/>
      <c r="Z185" s="6"/>
      <c r="AA185" s="3"/>
      <c r="AB185" s="3"/>
      <c r="AE185" s="3"/>
    </row>
    <row r="186" spans="1:31" x14ac:dyDescent="0.35">
      <c r="A186">
        <v>182</v>
      </c>
      <c r="B186" t="s">
        <v>211</v>
      </c>
      <c r="C186" t="s">
        <v>208</v>
      </c>
      <c r="D186" t="s">
        <v>48</v>
      </c>
      <c r="E186" t="s">
        <v>21</v>
      </c>
      <c r="F186" s="1">
        <v>2.76</v>
      </c>
      <c r="G186">
        <v>320</v>
      </c>
      <c r="H186">
        <v>267</v>
      </c>
      <c r="I186" t="s">
        <v>32</v>
      </c>
      <c r="J186">
        <v>340</v>
      </c>
      <c r="K186" t="s">
        <v>22</v>
      </c>
      <c r="L186">
        <f t="shared" si="2"/>
        <v>115600</v>
      </c>
      <c r="M186">
        <v>1.58</v>
      </c>
      <c r="N186">
        <v>30.5</v>
      </c>
      <c r="O186">
        <v>16</v>
      </c>
      <c r="P186">
        <v>531</v>
      </c>
      <c r="Q186" t="s">
        <v>22</v>
      </c>
      <c r="R186">
        <v>1.625</v>
      </c>
      <c r="T186" s="4"/>
      <c r="U186" s="3"/>
      <c r="V186" s="3"/>
      <c r="X186" s="5"/>
      <c r="Y186" s="6"/>
      <c r="Z186" s="6"/>
      <c r="AA186" s="3"/>
      <c r="AB186" s="3"/>
      <c r="AE186" s="3"/>
    </row>
    <row r="187" spans="1:31" x14ac:dyDescent="0.35">
      <c r="A187">
        <v>183</v>
      </c>
      <c r="B187" t="s">
        <v>212</v>
      </c>
      <c r="C187" t="s">
        <v>208</v>
      </c>
      <c r="D187" t="s">
        <v>48</v>
      </c>
      <c r="E187" t="s">
        <v>21</v>
      </c>
      <c r="F187" s="1">
        <v>2.76</v>
      </c>
      <c r="G187">
        <v>400</v>
      </c>
      <c r="H187">
        <v>353</v>
      </c>
      <c r="I187" t="s">
        <v>32</v>
      </c>
      <c r="J187">
        <v>440</v>
      </c>
      <c r="K187" t="s">
        <v>22</v>
      </c>
      <c r="L187">
        <f t="shared" si="2"/>
        <v>193600</v>
      </c>
      <c r="M187">
        <v>1.5</v>
      </c>
      <c r="N187">
        <v>31.9</v>
      </c>
      <c r="O187">
        <v>16</v>
      </c>
      <c r="P187">
        <v>580</v>
      </c>
      <c r="Q187" t="s">
        <v>22</v>
      </c>
      <c r="R187">
        <v>2.4910000000000001</v>
      </c>
      <c r="T187" s="4"/>
      <c r="U187" s="3"/>
      <c r="V187" s="3"/>
      <c r="X187" s="5"/>
      <c r="Y187" s="6"/>
      <c r="Z187" s="6"/>
      <c r="AA187" s="3"/>
      <c r="AB187" s="3"/>
      <c r="AE187" s="3"/>
    </row>
    <row r="188" spans="1:31" x14ac:dyDescent="0.35">
      <c r="A188">
        <v>184</v>
      </c>
      <c r="B188" t="s">
        <v>213</v>
      </c>
      <c r="C188" t="s">
        <v>109</v>
      </c>
      <c r="D188" t="s">
        <v>21</v>
      </c>
      <c r="E188" t="s">
        <v>21</v>
      </c>
      <c r="F188" s="1">
        <v>3</v>
      </c>
      <c r="G188">
        <v>280</v>
      </c>
      <c r="H188">
        <v>240</v>
      </c>
      <c r="I188" t="s">
        <v>21</v>
      </c>
      <c r="J188">
        <v>300</v>
      </c>
      <c r="K188" t="s">
        <v>22</v>
      </c>
      <c r="L188">
        <f t="shared" si="2"/>
        <v>70685.83470577035</v>
      </c>
      <c r="M188">
        <v>1.4</v>
      </c>
      <c r="N188">
        <v>24.2</v>
      </c>
      <c r="O188">
        <v>32</v>
      </c>
      <c r="P188">
        <v>510</v>
      </c>
      <c r="Q188" t="s">
        <v>22</v>
      </c>
      <c r="R188">
        <v>1.095</v>
      </c>
      <c r="T188" s="4"/>
      <c r="U188" s="3"/>
      <c r="V188" s="3"/>
      <c r="X188" s="5"/>
      <c r="Y188" s="6"/>
      <c r="Z188" s="6"/>
      <c r="AA188" s="3"/>
      <c r="AB188" s="3"/>
      <c r="AE188" s="3"/>
    </row>
    <row r="189" spans="1:31" x14ac:dyDescent="0.35">
      <c r="A189">
        <v>185</v>
      </c>
      <c r="B189" t="s">
        <v>214</v>
      </c>
      <c r="C189" t="s">
        <v>215</v>
      </c>
      <c r="D189" t="s">
        <v>48</v>
      </c>
      <c r="E189" t="s">
        <v>21</v>
      </c>
      <c r="F189" s="1">
        <v>3.92</v>
      </c>
      <c r="G189">
        <v>350</v>
      </c>
      <c r="H189">
        <v>294</v>
      </c>
      <c r="I189" t="s">
        <v>21</v>
      </c>
      <c r="J189">
        <v>400</v>
      </c>
      <c r="K189" t="s">
        <v>22</v>
      </c>
      <c r="L189">
        <f t="shared" si="2"/>
        <v>125663.70614359173</v>
      </c>
      <c r="M189">
        <v>1.2</v>
      </c>
      <c r="N189">
        <v>35.5</v>
      </c>
      <c r="O189">
        <v>32</v>
      </c>
      <c r="P189">
        <v>577</v>
      </c>
      <c r="Q189">
        <v>209</v>
      </c>
      <c r="R189">
        <v>1.71</v>
      </c>
      <c r="T189" s="4"/>
      <c r="U189" s="3"/>
      <c r="V189" s="3"/>
      <c r="X189" s="5"/>
      <c r="Y189" s="6"/>
      <c r="Z189" s="6"/>
      <c r="AA189" s="3"/>
      <c r="AB189" s="3"/>
      <c r="AE189" s="3"/>
    </row>
    <row r="190" spans="1:31" x14ac:dyDescent="0.35">
      <c r="A190">
        <v>186</v>
      </c>
      <c r="B190" t="s">
        <v>216</v>
      </c>
      <c r="C190" t="s">
        <v>217</v>
      </c>
      <c r="D190" t="s">
        <v>21</v>
      </c>
      <c r="E190" t="s">
        <v>21</v>
      </c>
      <c r="F190" s="1">
        <v>1.2</v>
      </c>
      <c r="G190">
        <v>120</v>
      </c>
      <c r="H190">
        <v>100</v>
      </c>
      <c r="I190" t="s">
        <v>32</v>
      </c>
      <c r="J190">
        <v>200</v>
      </c>
      <c r="K190" t="s">
        <v>22</v>
      </c>
      <c r="L190">
        <f t="shared" si="2"/>
        <v>40000</v>
      </c>
      <c r="M190">
        <v>0.73</v>
      </c>
      <c r="N190">
        <v>21.6</v>
      </c>
      <c r="O190" t="s">
        <v>22</v>
      </c>
      <c r="P190">
        <v>507</v>
      </c>
      <c r="Q190" t="s">
        <v>22</v>
      </c>
      <c r="R190">
        <v>0.188</v>
      </c>
      <c r="T190" s="4"/>
      <c r="U190" s="3"/>
      <c r="V190" s="3"/>
      <c r="X190" s="5"/>
      <c r="Y190" s="6"/>
      <c r="Z190" s="6"/>
      <c r="AA190" s="3"/>
      <c r="AB190" s="3"/>
      <c r="AE190" s="3"/>
    </row>
    <row r="191" spans="1:31" x14ac:dyDescent="0.35">
      <c r="A191">
        <v>187</v>
      </c>
      <c r="B191" t="s">
        <v>218</v>
      </c>
      <c r="C191" t="s">
        <v>217</v>
      </c>
      <c r="D191" t="s">
        <v>21</v>
      </c>
      <c r="E191" t="s">
        <v>21</v>
      </c>
      <c r="F191" s="1">
        <v>1.2</v>
      </c>
      <c r="G191">
        <v>120</v>
      </c>
      <c r="H191">
        <v>100</v>
      </c>
      <c r="I191" t="s">
        <v>32</v>
      </c>
      <c r="J191">
        <v>200</v>
      </c>
      <c r="K191" t="s">
        <v>22</v>
      </c>
      <c r="L191">
        <f t="shared" si="2"/>
        <v>40000</v>
      </c>
      <c r="M191">
        <v>1.0900000000000001</v>
      </c>
      <c r="N191">
        <v>20</v>
      </c>
      <c r="O191" t="s">
        <v>22</v>
      </c>
      <c r="P191">
        <v>507</v>
      </c>
      <c r="Q191" t="s">
        <v>22</v>
      </c>
      <c r="R191">
        <v>0.20200000000000001</v>
      </c>
      <c r="T191" s="4"/>
      <c r="U191" s="3"/>
      <c r="V191" s="3"/>
      <c r="X191" s="5"/>
      <c r="Y191" s="6"/>
      <c r="Z191" s="6"/>
      <c r="AA191" s="3"/>
      <c r="AB191" s="3"/>
      <c r="AE191" s="3"/>
    </row>
    <row r="192" spans="1:31" x14ac:dyDescent="0.35">
      <c r="A192">
        <v>188</v>
      </c>
      <c r="B192" t="s">
        <v>219</v>
      </c>
      <c r="C192" t="s">
        <v>217</v>
      </c>
      <c r="D192" t="s">
        <v>21</v>
      </c>
      <c r="E192" t="s">
        <v>21</v>
      </c>
      <c r="F192" s="1">
        <v>1.2</v>
      </c>
      <c r="G192">
        <v>120</v>
      </c>
      <c r="H192">
        <v>100</v>
      </c>
      <c r="I192" t="s">
        <v>32</v>
      </c>
      <c r="J192">
        <v>200</v>
      </c>
      <c r="K192" t="s">
        <v>22</v>
      </c>
      <c r="L192">
        <f t="shared" si="2"/>
        <v>40000</v>
      </c>
      <c r="M192">
        <v>1.5</v>
      </c>
      <c r="N192">
        <v>74</v>
      </c>
      <c r="O192" t="s">
        <v>22</v>
      </c>
      <c r="P192">
        <v>471</v>
      </c>
      <c r="Q192" t="s">
        <v>22</v>
      </c>
      <c r="R192">
        <v>0.33100000000000002</v>
      </c>
      <c r="T192" s="4"/>
      <c r="U192" s="3"/>
      <c r="V192" s="3"/>
      <c r="X192" s="5"/>
      <c r="Y192" s="6"/>
      <c r="Z192" s="6"/>
      <c r="AA192" s="3"/>
      <c r="AB192" s="3"/>
      <c r="AE192" s="3"/>
    </row>
    <row r="193" spans="1:31" x14ac:dyDescent="0.35">
      <c r="A193">
        <v>189</v>
      </c>
      <c r="B193" t="s">
        <v>220</v>
      </c>
      <c r="C193" t="s">
        <v>217</v>
      </c>
      <c r="D193" t="s">
        <v>21</v>
      </c>
      <c r="E193" t="s">
        <v>21</v>
      </c>
      <c r="F193" s="1">
        <v>1.2</v>
      </c>
      <c r="G193">
        <v>120</v>
      </c>
      <c r="H193">
        <v>100</v>
      </c>
      <c r="I193" t="s">
        <v>32</v>
      </c>
      <c r="J193">
        <v>200</v>
      </c>
      <c r="K193" t="s">
        <v>22</v>
      </c>
      <c r="L193">
        <f t="shared" si="2"/>
        <v>40000</v>
      </c>
      <c r="M193">
        <v>1.5</v>
      </c>
      <c r="N193">
        <v>75</v>
      </c>
      <c r="O193" t="s">
        <v>22</v>
      </c>
      <c r="P193">
        <v>471</v>
      </c>
      <c r="Q193" t="s">
        <v>22</v>
      </c>
      <c r="R193">
        <v>0.371</v>
      </c>
      <c r="T193" s="4"/>
      <c r="U193" s="3"/>
      <c r="V193" s="3"/>
      <c r="X193" s="5"/>
      <c r="Y193" s="6"/>
      <c r="Z193" s="6"/>
      <c r="AA193" s="3"/>
      <c r="AB193" s="3"/>
      <c r="AE193" s="3"/>
    </row>
    <row r="194" spans="1:31" x14ac:dyDescent="0.35">
      <c r="A194">
        <v>190</v>
      </c>
      <c r="B194" t="s">
        <v>221</v>
      </c>
      <c r="C194" t="s">
        <v>217</v>
      </c>
      <c r="D194" t="s">
        <v>21</v>
      </c>
      <c r="E194" t="s">
        <v>21</v>
      </c>
      <c r="F194" s="1">
        <v>1.2</v>
      </c>
      <c r="G194">
        <v>120</v>
      </c>
      <c r="H194">
        <v>100</v>
      </c>
      <c r="I194" t="s">
        <v>32</v>
      </c>
      <c r="J194">
        <v>200</v>
      </c>
      <c r="K194" t="s">
        <v>22</v>
      </c>
      <c r="L194">
        <f t="shared" si="2"/>
        <v>40000</v>
      </c>
      <c r="M194">
        <v>2.25</v>
      </c>
      <c r="N194">
        <v>63.7</v>
      </c>
      <c r="O194" t="s">
        <v>22</v>
      </c>
      <c r="P194">
        <v>471</v>
      </c>
      <c r="Q194" t="s">
        <v>22</v>
      </c>
      <c r="R194">
        <v>0.40500000000000003</v>
      </c>
      <c r="T194" s="4"/>
      <c r="U194" s="3"/>
      <c r="V194" s="3"/>
      <c r="X194" s="5"/>
      <c r="Y194" s="6"/>
      <c r="Z194" s="6"/>
      <c r="AA194" s="3"/>
      <c r="AB194" s="3"/>
      <c r="AE194" s="3"/>
    </row>
    <row r="195" spans="1:31" x14ac:dyDescent="0.35">
      <c r="A195">
        <v>191</v>
      </c>
      <c r="B195" t="s">
        <v>222</v>
      </c>
      <c r="C195" t="s">
        <v>217</v>
      </c>
      <c r="D195" t="s">
        <v>21</v>
      </c>
      <c r="E195" t="s">
        <v>21</v>
      </c>
      <c r="F195" s="1">
        <v>1.2</v>
      </c>
      <c r="G195">
        <v>120</v>
      </c>
      <c r="H195">
        <v>100</v>
      </c>
      <c r="I195" t="s">
        <v>32</v>
      </c>
      <c r="J195">
        <v>200</v>
      </c>
      <c r="K195" t="s">
        <v>22</v>
      </c>
      <c r="L195">
        <f t="shared" ref="L195:L258" si="3">IF(I195="k",J195^2*PI()/4,IF(I195="q",J195^2,J195*K195))</f>
        <v>40000</v>
      </c>
      <c r="M195">
        <v>2.25</v>
      </c>
      <c r="N195">
        <v>74.7</v>
      </c>
      <c r="O195" t="s">
        <v>22</v>
      </c>
      <c r="P195">
        <v>471</v>
      </c>
      <c r="Q195" t="s">
        <v>22</v>
      </c>
      <c r="R195">
        <v>0.48899999999999999</v>
      </c>
      <c r="T195" s="4"/>
      <c r="U195" s="3"/>
      <c r="V195" s="3"/>
      <c r="X195" s="5"/>
      <c r="Y195" s="6"/>
      <c r="Z195" s="6"/>
      <c r="AA195" s="3"/>
      <c r="AB195" s="3"/>
      <c r="AE195" s="3"/>
    </row>
    <row r="196" spans="1:31" x14ac:dyDescent="0.35">
      <c r="A196">
        <v>192</v>
      </c>
      <c r="B196" t="s">
        <v>223</v>
      </c>
      <c r="C196" t="s">
        <v>224</v>
      </c>
      <c r="D196" t="s">
        <v>48</v>
      </c>
      <c r="E196" t="s">
        <v>21</v>
      </c>
      <c r="F196" s="1">
        <v>3</v>
      </c>
      <c r="G196">
        <v>250</v>
      </c>
      <c r="H196">
        <v>210</v>
      </c>
      <c r="I196" t="s">
        <v>32</v>
      </c>
      <c r="J196">
        <v>260</v>
      </c>
      <c r="K196" t="s">
        <v>22</v>
      </c>
      <c r="L196">
        <f t="shared" si="3"/>
        <v>67600</v>
      </c>
      <c r="M196">
        <v>1.5</v>
      </c>
      <c r="N196">
        <v>27.6</v>
      </c>
      <c r="O196">
        <v>16</v>
      </c>
      <c r="P196">
        <v>573</v>
      </c>
      <c r="Q196">
        <v>210</v>
      </c>
      <c r="R196">
        <v>1.0229999999999999</v>
      </c>
      <c r="T196" s="4"/>
      <c r="U196" s="3"/>
      <c r="V196" s="3"/>
      <c r="X196" s="5"/>
      <c r="Y196" s="6"/>
      <c r="Z196" s="6"/>
      <c r="AA196" s="3"/>
      <c r="AB196" s="3"/>
      <c r="AE196" s="3"/>
    </row>
    <row r="197" spans="1:31" x14ac:dyDescent="0.35">
      <c r="A197">
        <v>193</v>
      </c>
      <c r="B197" t="s">
        <v>225</v>
      </c>
      <c r="C197" t="s">
        <v>224</v>
      </c>
      <c r="D197" t="s">
        <v>48</v>
      </c>
      <c r="E197" t="s">
        <v>21</v>
      </c>
      <c r="F197" s="1">
        <v>3</v>
      </c>
      <c r="G197">
        <v>250</v>
      </c>
      <c r="H197">
        <v>210</v>
      </c>
      <c r="I197" t="s">
        <v>32</v>
      </c>
      <c r="J197">
        <v>260</v>
      </c>
      <c r="K197" t="s">
        <v>22</v>
      </c>
      <c r="L197">
        <f t="shared" si="3"/>
        <v>67600</v>
      </c>
      <c r="M197">
        <v>0.25</v>
      </c>
      <c r="N197">
        <v>40.5</v>
      </c>
      <c r="O197">
        <v>16</v>
      </c>
      <c r="P197">
        <v>552</v>
      </c>
      <c r="Q197">
        <v>210</v>
      </c>
      <c r="R197">
        <v>0.44</v>
      </c>
      <c r="T197" s="4"/>
      <c r="U197" s="3"/>
      <c r="V197" s="3"/>
      <c r="X197" s="5"/>
      <c r="Y197" s="6"/>
      <c r="Z197" s="6"/>
      <c r="AA197" s="3"/>
      <c r="AB197" s="3"/>
      <c r="AE197" s="3"/>
    </row>
    <row r="198" spans="1:31" x14ac:dyDescent="0.35">
      <c r="A198">
        <v>194</v>
      </c>
      <c r="B198" t="s">
        <v>226</v>
      </c>
      <c r="C198" t="s">
        <v>224</v>
      </c>
      <c r="D198" t="s">
        <v>48</v>
      </c>
      <c r="E198" t="s">
        <v>21</v>
      </c>
      <c r="F198" s="1">
        <v>5.7</v>
      </c>
      <c r="G198">
        <v>500</v>
      </c>
      <c r="H198">
        <v>456</v>
      </c>
      <c r="I198" t="s">
        <v>32</v>
      </c>
      <c r="J198">
        <v>520</v>
      </c>
      <c r="K198" t="s">
        <v>22</v>
      </c>
      <c r="L198">
        <f t="shared" si="3"/>
        <v>270400</v>
      </c>
      <c r="M198">
        <v>0.33</v>
      </c>
      <c r="N198">
        <v>32.4</v>
      </c>
      <c r="O198">
        <v>16</v>
      </c>
      <c r="P198">
        <v>520</v>
      </c>
      <c r="Q198">
        <v>210</v>
      </c>
      <c r="R198">
        <v>2.153</v>
      </c>
      <c r="T198" s="4"/>
      <c r="U198" s="3"/>
      <c r="V198" s="3"/>
      <c r="X198" s="5"/>
      <c r="Y198" s="6"/>
      <c r="Z198" s="6"/>
      <c r="AA198" s="3"/>
      <c r="AB198" s="3"/>
      <c r="AE198" s="3"/>
    </row>
    <row r="199" spans="1:31" x14ac:dyDescent="0.35">
      <c r="A199">
        <v>195</v>
      </c>
      <c r="B199" t="s">
        <v>227</v>
      </c>
      <c r="C199" t="s">
        <v>224</v>
      </c>
      <c r="D199" t="s">
        <v>48</v>
      </c>
      <c r="E199" t="s">
        <v>21</v>
      </c>
      <c r="F199" s="1">
        <v>3</v>
      </c>
      <c r="G199">
        <v>250</v>
      </c>
      <c r="H199">
        <v>210</v>
      </c>
      <c r="I199" t="s">
        <v>32</v>
      </c>
      <c r="J199">
        <v>260</v>
      </c>
      <c r="K199" t="s">
        <v>22</v>
      </c>
      <c r="L199">
        <f t="shared" si="3"/>
        <v>67600</v>
      </c>
      <c r="M199">
        <v>0.25</v>
      </c>
      <c r="N199">
        <v>32.200000000000003</v>
      </c>
      <c r="O199">
        <v>4</v>
      </c>
      <c r="P199">
        <v>541</v>
      </c>
      <c r="Q199" t="s">
        <v>22</v>
      </c>
      <c r="R199">
        <v>0.40799999999999997</v>
      </c>
      <c r="T199" s="4"/>
      <c r="U199" s="3"/>
      <c r="V199" s="3"/>
      <c r="X199" s="5"/>
      <c r="Y199" s="6"/>
      <c r="Z199" s="6"/>
      <c r="AA199" s="3"/>
      <c r="AB199" s="3"/>
      <c r="AE199" s="3"/>
    </row>
    <row r="200" spans="1:31" x14ac:dyDescent="0.35">
      <c r="A200">
        <v>196</v>
      </c>
      <c r="B200" t="s">
        <v>228</v>
      </c>
      <c r="C200" t="s">
        <v>224</v>
      </c>
      <c r="D200" t="s">
        <v>48</v>
      </c>
      <c r="E200" t="s">
        <v>21</v>
      </c>
      <c r="F200" s="1">
        <v>3</v>
      </c>
      <c r="G200">
        <v>250</v>
      </c>
      <c r="H200">
        <v>210</v>
      </c>
      <c r="I200" t="s">
        <v>32</v>
      </c>
      <c r="J200">
        <v>260</v>
      </c>
      <c r="K200" t="s">
        <v>22</v>
      </c>
      <c r="L200">
        <f t="shared" si="3"/>
        <v>67600</v>
      </c>
      <c r="M200">
        <v>0.33</v>
      </c>
      <c r="N200">
        <v>29.3</v>
      </c>
      <c r="O200">
        <v>4</v>
      </c>
      <c r="P200">
        <v>555</v>
      </c>
      <c r="Q200" t="s">
        <v>22</v>
      </c>
      <c r="R200">
        <v>0.55000000000000004</v>
      </c>
      <c r="T200" s="4"/>
      <c r="U200" s="3"/>
      <c r="V200" s="3"/>
      <c r="X200" s="5"/>
      <c r="Y200" s="6"/>
      <c r="Z200" s="6"/>
      <c r="AA200" s="3"/>
      <c r="AB200" s="3"/>
      <c r="AE200" s="3"/>
    </row>
    <row r="201" spans="1:31" x14ac:dyDescent="0.35">
      <c r="A201">
        <v>197</v>
      </c>
      <c r="B201" t="s">
        <v>229</v>
      </c>
      <c r="C201" t="s">
        <v>224</v>
      </c>
      <c r="D201" t="s">
        <v>48</v>
      </c>
      <c r="E201" t="s">
        <v>21</v>
      </c>
      <c r="F201" s="1">
        <v>1.504</v>
      </c>
      <c r="G201">
        <v>125</v>
      </c>
      <c r="H201">
        <v>96</v>
      </c>
      <c r="I201" t="s">
        <v>32</v>
      </c>
      <c r="J201">
        <v>130</v>
      </c>
      <c r="K201" t="s">
        <v>22</v>
      </c>
      <c r="L201">
        <f t="shared" si="3"/>
        <v>16900</v>
      </c>
      <c r="M201">
        <v>1.5</v>
      </c>
      <c r="N201">
        <v>34.700000000000003</v>
      </c>
      <c r="O201">
        <v>16</v>
      </c>
      <c r="P201">
        <v>526</v>
      </c>
      <c r="Q201" t="s">
        <v>22</v>
      </c>
      <c r="R201">
        <v>0.23799999999999999</v>
      </c>
      <c r="T201" s="4"/>
      <c r="U201" s="3"/>
      <c r="V201" s="3"/>
      <c r="X201" s="5"/>
      <c r="Y201" s="6"/>
      <c r="Z201" s="6"/>
      <c r="AA201" s="3"/>
      <c r="AB201" s="3"/>
      <c r="AE201" s="3"/>
    </row>
    <row r="202" spans="1:31" x14ac:dyDescent="0.35">
      <c r="A202">
        <v>198</v>
      </c>
      <c r="B202" t="s">
        <v>230</v>
      </c>
      <c r="C202" t="s">
        <v>224</v>
      </c>
      <c r="D202" t="s">
        <v>48</v>
      </c>
      <c r="E202" t="s">
        <v>21</v>
      </c>
      <c r="F202" s="1">
        <v>1.504</v>
      </c>
      <c r="G202">
        <v>125</v>
      </c>
      <c r="H202">
        <v>100</v>
      </c>
      <c r="I202" t="s">
        <v>32</v>
      </c>
      <c r="J202">
        <v>130</v>
      </c>
      <c r="K202" t="s">
        <v>22</v>
      </c>
      <c r="L202">
        <f t="shared" si="3"/>
        <v>16900</v>
      </c>
      <c r="M202">
        <v>0.75</v>
      </c>
      <c r="N202">
        <v>34.700000000000003</v>
      </c>
      <c r="O202">
        <v>16</v>
      </c>
      <c r="P202">
        <v>550</v>
      </c>
      <c r="Q202" t="s">
        <v>22</v>
      </c>
      <c r="R202">
        <v>0.24099999999999999</v>
      </c>
      <c r="T202" s="4"/>
      <c r="U202" s="3"/>
      <c r="V202" s="3"/>
      <c r="X202" s="5"/>
      <c r="Y202" s="6"/>
      <c r="Z202" s="6"/>
      <c r="AA202" s="3"/>
      <c r="AB202" s="3"/>
      <c r="AE202" s="3"/>
    </row>
    <row r="203" spans="1:31" x14ac:dyDescent="0.35">
      <c r="A203">
        <v>199</v>
      </c>
      <c r="B203" t="s">
        <v>231</v>
      </c>
      <c r="C203" t="s">
        <v>224</v>
      </c>
      <c r="D203" t="s">
        <v>48</v>
      </c>
      <c r="E203" t="s">
        <v>21</v>
      </c>
      <c r="F203" s="1">
        <v>1.504</v>
      </c>
      <c r="G203">
        <v>125</v>
      </c>
      <c r="H203">
        <v>117</v>
      </c>
      <c r="I203" t="s">
        <v>32</v>
      </c>
      <c r="J203">
        <v>130</v>
      </c>
      <c r="K203" t="s">
        <v>22</v>
      </c>
      <c r="L203">
        <f t="shared" si="3"/>
        <v>16900</v>
      </c>
      <c r="M203">
        <v>0.28000000000000003</v>
      </c>
      <c r="N203">
        <v>34.700000000000003</v>
      </c>
      <c r="O203">
        <v>16</v>
      </c>
      <c r="P203">
        <v>525</v>
      </c>
      <c r="Q203" t="s">
        <v>22</v>
      </c>
      <c r="R203">
        <v>0.14000000000000001</v>
      </c>
      <c r="T203" s="4"/>
      <c r="U203" s="3"/>
      <c r="V203" s="3"/>
      <c r="X203" s="5"/>
      <c r="Y203" s="6"/>
      <c r="Z203" s="6"/>
      <c r="AA203" s="3"/>
      <c r="AB203" s="3"/>
      <c r="AE203" s="3"/>
    </row>
    <row r="204" spans="1:31" x14ac:dyDescent="0.35">
      <c r="A204">
        <v>200</v>
      </c>
      <c r="B204" t="s">
        <v>232</v>
      </c>
      <c r="C204" t="s">
        <v>224</v>
      </c>
      <c r="D204" t="s">
        <v>48</v>
      </c>
      <c r="E204" t="s">
        <v>21</v>
      </c>
      <c r="F204" s="1">
        <v>1.504</v>
      </c>
      <c r="G204">
        <v>125</v>
      </c>
      <c r="H204">
        <v>117</v>
      </c>
      <c r="I204" t="s">
        <v>32</v>
      </c>
      <c r="J204">
        <v>130</v>
      </c>
      <c r="K204" t="s">
        <v>22</v>
      </c>
      <c r="L204">
        <f t="shared" si="3"/>
        <v>16900</v>
      </c>
      <c r="M204">
        <v>0.22</v>
      </c>
      <c r="N204">
        <v>34.700000000000003</v>
      </c>
      <c r="O204">
        <v>16</v>
      </c>
      <c r="P204">
        <v>525</v>
      </c>
      <c r="Q204" t="s">
        <v>22</v>
      </c>
      <c r="R204">
        <v>0.115</v>
      </c>
      <c r="T204" s="4"/>
      <c r="U204" s="3"/>
      <c r="V204" s="3"/>
      <c r="X204" s="5"/>
      <c r="Y204" s="6"/>
      <c r="Z204" s="6"/>
      <c r="AA204" s="3"/>
      <c r="AB204" s="3"/>
      <c r="AE204" s="3"/>
    </row>
    <row r="205" spans="1:31" x14ac:dyDescent="0.35">
      <c r="A205">
        <v>201</v>
      </c>
      <c r="B205" t="s">
        <v>233</v>
      </c>
      <c r="C205" t="s">
        <v>224</v>
      </c>
      <c r="D205" t="s">
        <v>48</v>
      </c>
      <c r="E205" t="s">
        <v>21</v>
      </c>
      <c r="F205" s="1">
        <v>3</v>
      </c>
      <c r="G205">
        <v>250</v>
      </c>
      <c r="H205">
        <v>210</v>
      </c>
      <c r="I205" t="s">
        <v>32</v>
      </c>
      <c r="J205">
        <v>260</v>
      </c>
      <c r="K205" t="s">
        <v>22</v>
      </c>
      <c r="L205">
        <f t="shared" si="3"/>
        <v>67600</v>
      </c>
      <c r="M205">
        <v>0.33</v>
      </c>
      <c r="N205">
        <v>28.5</v>
      </c>
      <c r="O205">
        <v>16</v>
      </c>
      <c r="P205">
        <v>577</v>
      </c>
      <c r="Q205" t="s">
        <v>22</v>
      </c>
      <c r="R205">
        <v>0.54</v>
      </c>
      <c r="T205" s="4"/>
      <c r="U205" s="3"/>
      <c r="V205" s="3"/>
      <c r="X205" s="5"/>
      <c r="Y205" s="6"/>
      <c r="Z205" s="6"/>
      <c r="AA205" s="3"/>
      <c r="AB205" s="3"/>
      <c r="AE205" s="3"/>
    </row>
    <row r="206" spans="1:31" x14ac:dyDescent="0.35">
      <c r="A206">
        <v>202</v>
      </c>
      <c r="B206" t="s">
        <v>234</v>
      </c>
      <c r="C206" t="s">
        <v>235</v>
      </c>
      <c r="D206" t="s">
        <v>48</v>
      </c>
      <c r="E206" t="s">
        <v>21</v>
      </c>
      <c r="F206" s="1">
        <v>0.56000000000000005</v>
      </c>
      <c r="G206">
        <v>200</v>
      </c>
      <c r="H206">
        <v>172</v>
      </c>
      <c r="I206" t="s">
        <v>21</v>
      </c>
      <c r="J206">
        <v>175</v>
      </c>
      <c r="K206" t="s">
        <v>22</v>
      </c>
      <c r="L206">
        <f t="shared" si="3"/>
        <v>24052.818754046853</v>
      </c>
      <c r="M206">
        <v>1.25</v>
      </c>
      <c r="N206">
        <v>40.700000000000003</v>
      </c>
      <c r="O206" t="s">
        <v>22</v>
      </c>
      <c r="P206">
        <v>500</v>
      </c>
      <c r="Q206" t="s">
        <v>22</v>
      </c>
      <c r="R206">
        <v>0.67300000000000004</v>
      </c>
      <c r="T206" s="4"/>
      <c r="U206" s="3"/>
      <c r="V206" s="3"/>
      <c r="X206" s="5"/>
      <c r="Y206" s="6"/>
      <c r="Z206" s="6"/>
      <c r="AA206" s="3"/>
      <c r="AB206" s="3"/>
      <c r="AE206" s="3"/>
    </row>
    <row r="207" spans="1:31" x14ac:dyDescent="0.35">
      <c r="A207">
        <v>203</v>
      </c>
      <c r="B207" t="s">
        <v>236</v>
      </c>
      <c r="C207" t="s">
        <v>235</v>
      </c>
      <c r="D207" t="s">
        <v>48</v>
      </c>
      <c r="E207" t="s">
        <v>21</v>
      </c>
      <c r="F207" s="1">
        <v>0.8</v>
      </c>
      <c r="G207">
        <v>200</v>
      </c>
      <c r="H207">
        <v>172</v>
      </c>
      <c r="I207" t="s">
        <v>21</v>
      </c>
      <c r="J207">
        <v>175</v>
      </c>
      <c r="K207" t="s">
        <v>22</v>
      </c>
      <c r="L207">
        <f t="shared" si="3"/>
        <v>24052.818754046853</v>
      </c>
      <c r="M207">
        <v>1.25</v>
      </c>
      <c r="N207">
        <v>36</v>
      </c>
      <c r="O207" t="s">
        <v>22</v>
      </c>
      <c r="P207">
        <v>500</v>
      </c>
      <c r="Q207" t="s">
        <v>22</v>
      </c>
      <c r="R207">
        <v>0.66800000000000004</v>
      </c>
      <c r="T207" s="4"/>
      <c r="U207" s="3"/>
      <c r="V207" s="3"/>
      <c r="X207" s="5"/>
      <c r="Y207" s="6"/>
      <c r="Z207" s="6"/>
      <c r="AA207" s="3"/>
      <c r="AB207" s="3"/>
      <c r="AE207" s="3"/>
    </row>
    <row r="208" spans="1:31" x14ac:dyDescent="0.35">
      <c r="A208">
        <v>204</v>
      </c>
      <c r="B208" t="s">
        <v>237</v>
      </c>
      <c r="C208" t="s">
        <v>235</v>
      </c>
      <c r="D208" t="s">
        <v>48</v>
      </c>
      <c r="E208" t="s">
        <v>21</v>
      </c>
      <c r="F208" s="1">
        <v>0.8</v>
      </c>
      <c r="G208">
        <v>285</v>
      </c>
      <c r="H208">
        <v>246</v>
      </c>
      <c r="I208" t="s">
        <v>21</v>
      </c>
      <c r="J208">
        <v>250</v>
      </c>
      <c r="K208" t="s">
        <v>22</v>
      </c>
      <c r="L208">
        <f t="shared" si="3"/>
        <v>49087.385212340516</v>
      </c>
      <c r="M208">
        <v>1.18</v>
      </c>
      <c r="N208">
        <v>32.799999999999997</v>
      </c>
      <c r="O208" t="s">
        <v>22</v>
      </c>
      <c r="P208">
        <v>500</v>
      </c>
      <c r="Q208" t="s">
        <v>22</v>
      </c>
      <c r="R208">
        <v>1.06</v>
      </c>
      <c r="T208" s="4"/>
      <c r="U208" s="3"/>
      <c r="V208" s="3"/>
      <c r="X208" s="5"/>
      <c r="Y208" s="6"/>
      <c r="Z208" s="6"/>
      <c r="AA208" s="3"/>
      <c r="AB208" s="3"/>
      <c r="AE208" s="3"/>
    </row>
    <row r="209" spans="1:31" x14ac:dyDescent="0.35">
      <c r="A209">
        <v>205</v>
      </c>
      <c r="B209" t="s">
        <v>238</v>
      </c>
      <c r="C209" t="s">
        <v>239</v>
      </c>
      <c r="D209" t="s">
        <v>126</v>
      </c>
      <c r="E209" t="s">
        <v>126</v>
      </c>
      <c r="F209" s="1">
        <v>2.1</v>
      </c>
      <c r="G209">
        <v>130</v>
      </c>
      <c r="H209">
        <v>107</v>
      </c>
      <c r="I209" t="s">
        <v>32</v>
      </c>
      <c r="J209">
        <v>120</v>
      </c>
      <c r="K209" t="s">
        <v>22</v>
      </c>
      <c r="L209">
        <f t="shared" si="3"/>
        <v>14400</v>
      </c>
      <c r="M209">
        <v>1.0900000000000001</v>
      </c>
      <c r="N209">
        <v>57.1</v>
      </c>
      <c r="O209">
        <v>16</v>
      </c>
      <c r="P209">
        <v>749</v>
      </c>
      <c r="Q209" t="s">
        <v>22</v>
      </c>
      <c r="R209">
        <v>0.318</v>
      </c>
      <c r="T209" s="4"/>
      <c r="U209" s="3"/>
      <c r="V209" s="3"/>
      <c r="X209" s="5"/>
      <c r="Y209" s="6"/>
      <c r="Z209" s="6"/>
      <c r="AA209" s="3"/>
      <c r="AB209" s="3"/>
      <c r="AE209" s="3"/>
    </row>
    <row r="210" spans="1:31" x14ac:dyDescent="0.35">
      <c r="A210">
        <v>206</v>
      </c>
      <c r="B210" t="s">
        <v>240</v>
      </c>
      <c r="C210" t="s">
        <v>239</v>
      </c>
      <c r="D210" t="s">
        <v>126</v>
      </c>
      <c r="E210" t="s">
        <v>126</v>
      </c>
      <c r="F210" s="1">
        <v>2.1</v>
      </c>
      <c r="G210">
        <v>130</v>
      </c>
      <c r="H210">
        <v>107</v>
      </c>
      <c r="I210" t="s">
        <v>126</v>
      </c>
      <c r="J210">
        <v>120</v>
      </c>
      <c r="K210">
        <v>240</v>
      </c>
      <c r="L210">
        <f t="shared" si="3"/>
        <v>28800</v>
      </c>
      <c r="M210">
        <v>1.0900000000000001</v>
      </c>
      <c r="N210">
        <v>55.2</v>
      </c>
      <c r="O210">
        <v>16</v>
      </c>
      <c r="P210">
        <v>749</v>
      </c>
      <c r="Q210" t="s">
        <v>22</v>
      </c>
      <c r="R210">
        <v>0.33100000000000002</v>
      </c>
      <c r="T210" s="4"/>
      <c r="U210" s="3"/>
      <c r="V210" s="3"/>
      <c r="X210" s="5"/>
      <c r="Y210" s="6"/>
      <c r="Z210" s="6"/>
      <c r="AA210" s="3"/>
      <c r="AB210" s="3"/>
      <c r="AE210" s="3"/>
    </row>
    <row r="211" spans="1:31" x14ac:dyDescent="0.35">
      <c r="A211">
        <v>207</v>
      </c>
      <c r="B211" t="s">
        <v>241</v>
      </c>
      <c r="C211" t="s">
        <v>239</v>
      </c>
      <c r="D211" t="s">
        <v>126</v>
      </c>
      <c r="E211" t="s">
        <v>126</v>
      </c>
      <c r="F211" s="1">
        <v>2.1</v>
      </c>
      <c r="G211">
        <v>130</v>
      </c>
      <c r="H211">
        <v>106</v>
      </c>
      <c r="I211" t="s">
        <v>126</v>
      </c>
      <c r="J211">
        <v>120</v>
      </c>
      <c r="K211">
        <v>360</v>
      </c>
      <c r="L211">
        <f t="shared" si="3"/>
        <v>43200</v>
      </c>
      <c r="M211">
        <v>1</v>
      </c>
      <c r="N211">
        <v>52.3</v>
      </c>
      <c r="O211">
        <v>16</v>
      </c>
      <c r="P211">
        <v>749</v>
      </c>
      <c r="Q211" t="s">
        <v>22</v>
      </c>
      <c r="R211">
        <v>0.35799999999999998</v>
      </c>
      <c r="T211" s="4"/>
      <c r="U211" s="3"/>
      <c r="V211" s="3"/>
      <c r="X211" s="5"/>
      <c r="Y211" s="6"/>
      <c r="Z211" s="6"/>
      <c r="AA211" s="3"/>
      <c r="AB211" s="3"/>
      <c r="AE211" s="3"/>
    </row>
    <row r="212" spans="1:31" x14ac:dyDescent="0.35">
      <c r="A212">
        <v>208</v>
      </c>
      <c r="B212" t="s">
        <v>242</v>
      </c>
      <c r="C212" t="s">
        <v>239</v>
      </c>
      <c r="D212" t="s">
        <v>126</v>
      </c>
      <c r="E212" t="s">
        <v>126</v>
      </c>
      <c r="F212" s="1">
        <v>2.1</v>
      </c>
      <c r="G212">
        <v>130</v>
      </c>
      <c r="H212">
        <v>107</v>
      </c>
      <c r="I212" t="s">
        <v>126</v>
      </c>
      <c r="J212">
        <v>120</v>
      </c>
      <c r="K212">
        <v>480</v>
      </c>
      <c r="L212">
        <f t="shared" si="3"/>
        <v>57600</v>
      </c>
      <c r="M212">
        <v>1.0900000000000001</v>
      </c>
      <c r="N212">
        <v>54.2</v>
      </c>
      <c r="O212">
        <v>16</v>
      </c>
      <c r="P212">
        <v>749</v>
      </c>
      <c r="Q212" t="s">
        <v>22</v>
      </c>
      <c r="R212">
        <v>0.40400000000000003</v>
      </c>
      <c r="T212" s="4"/>
      <c r="U212" s="3"/>
      <c r="V212" s="3"/>
      <c r="X212" s="5"/>
      <c r="Y212" s="6"/>
      <c r="Z212" s="6"/>
      <c r="AA212" s="3"/>
      <c r="AB212" s="3"/>
      <c r="AE212" s="3"/>
    </row>
    <row r="213" spans="1:31" x14ac:dyDescent="0.35">
      <c r="A213">
        <v>209</v>
      </c>
      <c r="B213" t="s">
        <v>243</v>
      </c>
      <c r="C213" t="s">
        <v>239</v>
      </c>
      <c r="D213" t="s">
        <v>126</v>
      </c>
      <c r="E213" t="s">
        <v>126</v>
      </c>
      <c r="F213" s="1">
        <v>2.1</v>
      </c>
      <c r="G213">
        <v>130</v>
      </c>
      <c r="H213">
        <v>109</v>
      </c>
      <c r="I213" t="s">
        <v>126</v>
      </c>
      <c r="J213">
        <v>120</v>
      </c>
      <c r="K213">
        <v>600</v>
      </c>
      <c r="L213">
        <f t="shared" si="3"/>
        <v>72000</v>
      </c>
      <c r="M213">
        <v>1.07</v>
      </c>
      <c r="N213">
        <v>61</v>
      </c>
      <c r="O213">
        <v>16</v>
      </c>
      <c r="P213">
        <v>749</v>
      </c>
      <c r="Q213" t="s">
        <v>22</v>
      </c>
      <c r="R213">
        <v>0.44600000000000001</v>
      </c>
      <c r="T213" s="4"/>
      <c r="U213" s="3"/>
      <c r="V213" s="3"/>
      <c r="X213" s="5"/>
      <c r="Y213" s="6"/>
      <c r="Z213" s="6"/>
      <c r="AA213" s="3"/>
      <c r="AB213" s="3"/>
      <c r="AE213" s="3"/>
    </row>
    <row r="214" spans="1:31" x14ac:dyDescent="0.35">
      <c r="A214">
        <v>210</v>
      </c>
      <c r="B214" t="s">
        <v>244</v>
      </c>
      <c r="C214" t="s">
        <v>239</v>
      </c>
      <c r="D214" t="s">
        <v>48</v>
      </c>
      <c r="E214" t="s">
        <v>21</v>
      </c>
      <c r="F214" s="1">
        <v>1.831</v>
      </c>
      <c r="G214">
        <v>155</v>
      </c>
      <c r="H214">
        <v>120</v>
      </c>
      <c r="I214" t="s">
        <v>32</v>
      </c>
      <c r="J214">
        <v>250</v>
      </c>
      <c r="K214" t="s">
        <v>22</v>
      </c>
      <c r="L214">
        <f t="shared" si="3"/>
        <v>62500</v>
      </c>
      <c r="M214">
        <v>0.87</v>
      </c>
      <c r="N214">
        <v>35.6</v>
      </c>
      <c r="O214" t="s">
        <v>22</v>
      </c>
      <c r="P214">
        <v>430</v>
      </c>
      <c r="Q214">
        <v>192</v>
      </c>
      <c r="R214">
        <v>0.36499999999999999</v>
      </c>
      <c r="T214" s="4"/>
      <c r="U214" s="3"/>
      <c r="V214" s="3"/>
      <c r="X214" s="5"/>
      <c r="Y214" s="6"/>
      <c r="Z214" s="6"/>
      <c r="AA214" s="3"/>
      <c r="AB214" s="3"/>
      <c r="AE214" s="3"/>
    </row>
    <row r="215" spans="1:31" x14ac:dyDescent="0.35">
      <c r="A215">
        <v>211</v>
      </c>
      <c r="B215" t="s">
        <v>245</v>
      </c>
      <c r="C215" t="s">
        <v>246</v>
      </c>
      <c r="D215" t="s">
        <v>48</v>
      </c>
      <c r="E215" t="s">
        <v>32</v>
      </c>
      <c r="F215" s="1">
        <v>0.72499999999999998</v>
      </c>
      <c r="G215">
        <v>135</v>
      </c>
      <c r="H215">
        <v>100</v>
      </c>
      <c r="I215" t="s">
        <v>32</v>
      </c>
      <c r="J215">
        <v>200</v>
      </c>
      <c r="K215" t="s">
        <v>22</v>
      </c>
      <c r="L215">
        <f t="shared" si="3"/>
        <v>40000</v>
      </c>
      <c r="M215">
        <v>0.98</v>
      </c>
      <c r="N215">
        <v>39.4</v>
      </c>
      <c r="O215">
        <v>20</v>
      </c>
      <c r="P215">
        <v>488</v>
      </c>
      <c r="Q215" t="s">
        <v>22</v>
      </c>
      <c r="R215">
        <v>0.33</v>
      </c>
      <c r="T215" s="4"/>
      <c r="U215" s="3"/>
      <c r="V215" s="3"/>
      <c r="X215" s="5"/>
      <c r="Y215" s="6"/>
      <c r="Z215" s="6"/>
      <c r="AA215" s="3"/>
      <c r="AB215" s="3"/>
      <c r="AE215" s="3"/>
    </row>
    <row r="216" spans="1:31" x14ac:dyDescent="0.35">
      <c r="A216">
        <v>212</v>
      </c>
      <c r="B216" t="s">
        <v>247</v>
      </c>
      <c r="C216" t="s">
        <v>246</v>
      </c>
      <c r="D216" t="s">
        <v>48</v>
      </c>
      <c r="E216" t="s">
        <v>32</v>
      </c>
      <c r="F216" s="1">
        <v>0.99</v>
      </c>
      <c r="G216">
        <v>190</v>
      </c>
      <c r="H216">
        <v>150</v>
      </c>
      <c r="I216" t="s">
        <v>32</v>
      </c>
      <c r="J216">
        <v>200</v>
      </c>
      <c r="K216" t="s">
        <v>22</v>
      </c>
      <c r="L216">
        <f t="shared" si="3"/>
        <v>40000</v>
      </c>
      <c r="M216">
        <v>0.9</v>
      </c>
      <c r="N216">
        <v>39.4</v>
      </c>
      <c r="O216">
        <v>20</v>
      </c>
      <c r="P216">
        <v>465</v>
      </c>
      <c r="Q216" t="s">
        <v>22</v>
      </c>
      <c r="R216">
        <v>0.58299999999999996</v>
      </c>
      <c r="T216" s="4"/>
      <c r="U216" s="3"/>
      <c r="V216" s="3"/>
      <c r="X216" s="5"/>
      <c r="Y216" s="6"/>
      <c r="Z216" s="6"/>
      <c r="AA216" s="3"/>
      <c r="AB216" s="3"/>
      <c r="AE216" s="3"/>
    </row>
    <row r="217" spans="1:31" x14ac:dyDescent="0.35">
      <c r="A217">
        <v>213</v>
      </c>
      <c r="B217" t="s">
        <v>248</v>
      </c>
      <c r="C217" t="s">
        <v>246</v>
      </c>
      <c r="D217" t="s">
        <v>48</v>
      </c>
      <c r="E217" t="s">
        <v>32</v>
      </c>
      <c r="F217" s="1">
        <v>1.25</v>
      </c>
      <c r="G217">
        <v>240</v>
      </c>
      <c r="H217">
        <v>200</v>
      </c>
      <c r="I217" t="s">
        <v>32</v>
      </c>
      <c r="J217">
        <v>200</v>
      </c>
      <c r="K217" t="s">
        <v>22</v>
      </c>
      <c r="L217">
        <f t="shared" si="3"/>
        <v>40000</v>
      </c>
      <c r="M217">
        <v>0.83</v>
      </c>
      <c r="N217">
        <v>39.4</v>
      </c>
      <c r="O217">
        <v>20</v>
      </c>
      <c r="P217">
        <v>465</v>
      </c>
      <c r="Q217" t="s">
        <v>22</v>
      </c>
      <c r="R217">
        <v>0.90400000000000003</v>
      </c>
      <c r="T217" s="4"/>
      <c r="U217" s="3"/>
      <c r="V217" s="3"/>
      <c r="X217" s="5"/>
      <c r="Y217" s="6"/>
      <c r="Z217" s="6"/>
      <c r="AA217" s="3"/>
      <c r="AB217" s="3"/>
      <c r="AE217" s="3"/>
    </row>
    <row r="218" spans="1:31" x14ac:dyDescent="0.35">
      <c r="A218">
        <v>214</v>
      </c>
      <c r="B218" t="s">
        <v>249</v>
      </c>
      <c r="C218" t="s">
        <v>246</v>
      </c>
      <c r="D218" t="s">
        <v>48</v>
      </c>
      <c r="E218" t="s">
        <v>32</v>
      </c>
      <c r="F218" s="1">
        <v>1.7749999999999999</v>
      </c>
      <c r="G218">
        <v>345</v>
      </c>
      <c r="H218">
        <v>300</v>
      </c>
      <c r="I218" t="s">
        <v>32</v>
      </c>
      <c r="J218">
        <v>200</v>
      </c>
      <c r="K218" t="s">
        <v>22</v>
      </c>
      <c r="L218">
        <f t="shared" si="3"/>
        <v>40000</v>
      </c>
      <c r="M218">
        <v>0.76</v>
      </c>
      <c r="N218">
        <v>39.4</v>
      </c>
      <c r="O218">
        <v>20</v>
      </c>
      <c r="P218">
        <v>468</v>
      </c>
      <c r="Q218" t="s">
        <v>22</v>
      </c>
      <c r="R218">
        <v>1.381</v>
      </c>
      <c r="T218" s="4"/>
      <c r="U218" s="3"/>
      <c r="V218" s="3"/>
      <c r="X218" s="5"/>
      <c r="Y218" s="6"/>
      <c r="Z218" s="6"/>
      <c r="AA218" s="3"/>
      <c r="AB218" s="3"/>
      <c r="AE218" s="3"/>
    </row>
    <row r="219" spans="1:31" x14ac:dyDescent="0.35">
      <c r="A219">
        <v>215</v>
      </c>
      <c r="B219" t="s">
        <v>250</v>
      </c>
      <c r="C219" t="s">
        <v>246</v>
      </c>
      <c r="D219" t="s">
        <v>48</v>
      </c>
      <c r="E219" t="s">
        <v>32</v>
      </c>
      <c r="F219" s="1">
        <v>1.7749999999999999</v>
      </c>
      <c r="G219">
        <v>450</v>
      </c>
      <c r="H219">
        <v>400</v>
      </c>
      <c r="I219" t="s">
        <v>32</v>
      </c>
      <c r="J219">
        <v>300</v>
      </c>
      <c r="K219" t="s">
        <v>22</v>
      </c>
      <c r="L219">
        <f t="shared" si="3"/>
        <v>90000</v>
      </c>
      <c r="M219">
        <v>0.76</v>
      </c>
      <c r="N219">
        <v>39.4</v>
      </c>
      <c r="O219">
        <v>20</v>
      </c>
      <c r="P219">
        <v>433</v>
      </c>
      <c r="Q219" t="s">
        <v>22</v>
      </c>
      <c r="R219">
        <v>2.2240000000000002</v>
      </c>
      <c r="T219" s="4"/>
      <c r="U219" s="3"/>
      <c r="V219" s="3"/>
      <c r="X219" s="5"/>
      <c r="Y219" s="6"/>
      <c r="Z219" s="6"/>
      <c r="AA219" s="3"/>
      <c r="AB219" s="3"/>
      <c r="AE219" s="3"/>
    </row>
    <row r="220" spans="1:31" x14ac:dyDescent="0.35">
      <c r="A220">
        <v>216</v>
      </c>
      <c r="B220" t="s">
        <v>251</v>
      </c>
      <c r="C220" t="s">
        <v>246</v>
      </c>
      <c r="D220" t="s">
        <v>48</v>
      </c>
      <c r="E220" t="s">
        <v>32</v>
      </c>
      <c r="F220" s="1">
        <v>1.7749999999999999</v>
      </c>
      <c r="G220">
        <v>550</v>
      </c>
      <c r="H220">
        <v>500</v>
      </c>
      <c r="I220" t="s">
        <v>32</v>
      </c>
      <c r="J220">
        <v>300</v>
      </c>
      <c r="K220" t="s">
        <v>22</v>
      </c>
      <c r="L220">
        <f t="shared" si="3"/>
        <v>90000</v>
      </c>
      <c r="M220">
        <v>0.76</v>
      </c>
      <c r="N220">
        <v>39.4</v>
      </c>
      <c r="O220">
        <v>20</v>
      </c>
      <c r="P220">
        <v>433</v>
      </c>
      <c r="Q220" t="s">
        <v>22</v>
      </c>
      <c r="R220">
        <v>2.681</v>
      </c>
      <c r="T220" s="4"/>
      <c r="U220" s="3"/>
      <c r="V220" s="3"/>
      <c r="X220" s="5"/>
      <c r="Y220" s="6"/>
      <c r="Z220" s="6"/>
      <c r="AA220" s="3"/>
      <c r="AB220" s="3"/>
      <c r="AE220" s="3"/>
    </row>
    <row r="221" spans="1:31" x14ac:dyDescent="0.35">
      <c r="A221">
        <v>217</v>
      </c>
      <c r="B221" t="s">
        <v>252</v>
      </c>
      <c r="C221" t="s">
        <v>253</v>
      </c>
      <c r="D221" t="s">
        <v>48</v>
      </c>
      <c r="E221" t="s">
        <v>21</v>
      </c>
      <c r="F221" s="1">
        <v>2.1360000000000001</v>
      </c>
      <c r="G221">
        <v>150</v>
      </c>
      <c r="H221">
        <v>109</v>
      </c>
      <c r="I221" t="s">
        <v>32</v>
      </c>
      <c r="J221">
        <v>225</v>
      </c>
      <c r="K221" t="s">
        <v>22</v>
      </c>
      <c r="L221">
        <f t="shared" si="3"/>
        <v>50625</v>
      </c>
      <c r="M221">
        <v>1.1000000000000001</v>
      </c>
      <c r="N221">
        <v>30</v>
      </c>
      <c r="O221">
        <v>20</v>
      </c>
      <c r="P221">
        <v>434</v>
      </c>
      <c r="Q221">
        <v>181</v>
      </c>
      <c r="R221">
        <v>0.30599999999999999</v>
      </c>
      <c r="T221" s="4"/>
      <c r="U221" s="3"/>
      <c r="V221" s="3"/>
      <c r="X221" s="5"/>
      <c r="Y221" s="6"/>
      <c r="Z221" s="6"/>
      <c r="AA221" s="3"/>
      <c r="AB221" s="3"/>
      <c r="AE221" s="3"/>
    </row>
    <row r="222" spans="1:31" x14ac:dyDescent="0.35">
      <c r="A222">
        <v>218</v>
      </c>
      <c r="B222" t="s">
        <v>254</v>
      </c>
      <c r="C222" t="s">
        <v>255</v>
      </c>
      <c r="D222" t="s">
        <v>48</v>
      </c>
      <c r="E222" t="s">
        <v>21</v>
      </c>
      <c r="F222" s="1">
        <v>2.1360000000000001</v>
      </c>
      <c r="G222">
        <v>150</v>
      </c>
      <c r="H222">
        <v>109</v>
      </c>
      <c r="I222" t="s">
        <v>32</v>
      </c>
      <c r="J222">
        <v>225</v>
      </c>
      <c r="K222" t="s">
        <v>22</v>
      </c>
      <c r="L222">
        <f t="shared" si="3"/>
        <v>50625</v>
      </c>
      <c r="M222">
        <v>1.2</v>
      </c>
      <c r="N222">
        <v>37.200000000000003</v>
      </c>
      <c r="O222">
        <v>20</v>
      </c>
      <c r="P222">
        <v>445</v>
      </c>
      <c r="Q222">
        <v>193</v>
      </c>
      <c r="R222">
        <v>0.30099999999999999</v>
      </c>
      <c r="T222" s="4"/>
      <c r="U222" s="3"/>
      <c r="V222" s="3"/>
      <c r="X222" s="5"/>
      <c r="Y222" s="6"/>
      <c r="Z222" s="6"/>
      <c r="AA222" s="3"/>
      <c r="AB222" s="3"/>
      <c r="AE222" s="3"/>
    </row>
    <row r="223" spans="1:31" x14ac:dyDescent="0.35">
      <c r="A223">
        <v>219</v>
      </c>
      <c r="B223" t="s">
        <v>256</v>
      </c>
      <c r="C223" t="s">
        <v>255</v>
      </c>
      <c r="D223" t="s">
        <v>48</v>
      </c>
      <c r="E223" t="s">
        <v>21</v>
      </c>
      <c r="F223" s="1">
        <v>2.1360000000000001</v>
      </c>
      <c r="G223">
        <v>150</v>
      </c>
      <c r="H223">
        <v>109</v>
      </c>
      <c r="I223" t="s">
        <v>32</v>
      </c>
      <c r="J223">
        <v>225</v>
      </c>
      <c r="K223" t="s">
        <v>22</v>
      </c>
      <c r="L223">
        <f t="shared" si="3"/>
        <v>50625</v>
      </c>
      <c r="M223">
        <v>1.2</v>
      </c>
      <c r="N223">
        <v>57.1</v>
      </c>
      <c r="O223">
        <v>20</v>
      </c>
      <c r="P223">
        <v>445</v>
      </c>
      <c r="Q223">
        <v>193</v>
      </c>
      <c r="R223">
        <v>0.36299999999999999</v>
      </c>
      <c r="T223" s="4"/>
      <c r="U223" s="3"/>
      <c r="V223" s="3"/>
      <c r="X223" s="5"/>
      <c r="Y223" s="6"/>
      <c r="Z223" s="6"/>
      <c r="AA223" s="3"/>
      <c r="AB223" s="3"/>
      <c r="AE223" s="3"/>
    </row>
    <row r="224" spans="1:31" x14ac:dyDescent="0.35">
      <c r="A224">
        <v>220</v>
      </c>
      <c r="B224" t="s">
        <v>257</v>
      </c>
      <c r="C224" t="s">
        <v>255</v>
      </c>
      <c r="D224" t="s">
        <v>48</v>
      </c>
      <c r="E224" t="s">
        <v>21</v>
      </c>
      <c r="F224" s="1">
        <v>2.1360000000000001</v>
      </c>
      <c r="G224">
        <v>150</v>
      </c>
      <c r="H224">
        <v>109</v>
      </c>
      <c r="I224" t="s">
        <v>32</v>
      </c>
      <c r="J224">
        <v>225</v>
      </c>
      <c r="K224" t="s">
        <v>22</v>
      </c>
      <c r="L224">
        <f t="shared" si="3"/>
        <v>50625</v>
      </c>
      <c r="M224">
        <v>1.2</v>
      </c>
      <c r="N224">
        <v>67.099999999999994</v>
      </c>
      <c r="O224">
        <v>10</v>
      </c>
      <c r="P224">
        <v>445</v>
      </c>
      <c r="Q224">
        <v>193</v>
      </c>
      <c r="R224">
        <v>0.443</v>
      </c>
      <c r="T224" s="4"/>
      <c r="U224" s="3"/>
      <c r="V224" s="3"/>
      <c r="X224" s="5"/>
      <c r="Y224" s="6"/>
      <c r="Z224" s="6"/>
      <c r="AA224" s="3"/>
      <c r="AB224" s="3"/>
      <c r="AE224" s="3"/>
    </row>
    <row r="225" spans="1:31" x14ac:dyDescent="0.35">
      <c r="A225">
        <v>221</v>
      </c>
      <c r="B225" t="s">
        <v>258</v>
      </c>
      <c r="C225" t="s">
        <v>259</v>
      </c>
      <c r="D225" t="s">
        <v>48</v>
      </c>
      <c r="E225" t="s">
        <v>32</v>
      </c>
      <c r="F225" s="1">
        <v>1.57</v>
      </c>
      <c r="G225">
        <v>197</v>
      </c>
      <c r="H225">
        <v>172</v>
      </c>
      <c r="I225" t="s">
        <v>21</v>
      </c>
      <c r="J225">
        <v>202</v>
      </c>
      <c r="K225" t="s">
        <v>22</v>
      </c>
      <c r="L225">
        <f t="shared" si="3"/>
        <v>32047.386659269479</v>
      </c>
      <c r="M225">
        <v>0.46</v>
      </c>
      <c r="N225">
        <v>25.8</v>
      </c>
      <c r="O225">
        <v>16</v>
      </c>
      <c r="P225">
        <v>621</v>
      </c>
      <c r="Q225">
        <v>205</v>
      </c>
      <c r="R225">
        <v>0.503</v>
      </c>
      <c r="T225" s="4"/>
      <c r="U225" s="3"/>
      <c r="V225" s="3"/>
      <c r="X225" s="5"/>
      <c r="Y225" s="6"/>
      <c r="Z225" s="6"/>
      <c r="AA225" s="3"/>
      <c r="AB225" s="3"/>
      <c r="AE225" s="3"/>
    </row>
    <row r="226" spans="1:31" x14ac:dyDescent="0.35">
      <c r="A226">
        <v>222</v>
      </c>
      <c r="B226" t="s">
        <v>260</v>
      </c>
      <c r="C226" t="s">
        <v>259</v>
      </c>
      <c r="D226" t="s">
        <v>48</v>
      </c>
      <c r="E226" t="s">
        <v>32</v>
      </c>
      <c r="F226" s="1">
        <v>1.57</v>
      </c>
      <c r="G226">
        <v>201</v>
      </c>
      <c r="H226">
        <v>176</v>
      </c>
      <c r="I226" t="s">
        <v>21</v>
      </c>
      <c r="J226">
        <v>202</v>
      </c>
      <c r="K226" t="s">
        <v>22</v>
      </c>
      <c r="L226">
        <f t="shared" si="3"/>
        <v>32047.386659269479</v>
      </c>
      <c r="M226">
        <v>0.45</v>
      </c>
      <c r="N226">
        <v>25.8</v>
      </c>
      <c r="O226">
        <v>16</v>
      </c>
      <c r="P226">
        <v>621</v>
      </c>
      <c r="Q226">
        <v>205</v>
      </c>
      <c r="R226">
        <v>0.53700000000000003</v>
      </c>
      <c r="T226" s="4"/>
      <c r="U226" s="3"/>
      <c r="V226" s="3"/>
      <c r="X226" s="5"/>
      <c r="Y226" s="6"/>
      <c r="Z226" s="6"/>
      <c r="AA226" s="3"/>
      <c r="AB226" s="3"/>
      <c r="AE226" s="3"/>
    </row>
    <row r="227" spans="1:31" x14ac:dyDescent="0.35">
      <c r="A227">
        <v>223</v>
      </c>
      <c r="B227" t="s">
        <v>261</v>
      </c>
      <c r="C227" t="s">
        <v>259</v>
      </c>
      <c r="D227" t="s">
        <v>48</v>
      </c>
      <c r="E227" t="s">
        <v>32</v>
      </c>
      <c r="F227" s="1">
        <v>1.57</v>
      </c>
      <c r="G227">
        <v>198</v>
      </c>
      <c r="H227">
        <v>173</v>
      </c>
      <c r="I227" t="s">
        <v>21</v>
      </c>
      <c r="J227">
        <v>201</v>
      </c>
      <c r="K227" t="s">
        <v>22</v>
      </c>
      <c r="L227">
        <f t="shared" si="3"/>
        <v>31730.871199420308</v>
      </c>
      <c r="M227">
        <v>0.45</v>
      </c>
      <c r="N227">
        <v>25.8</v>
      </c>
      <c r="O227">
        <v>16</v>
      </c>
      <c r="P227">
        <v>621</v>
      </c>
      <c r="Q227">
        <v>205</v>
      </c>
      <c r="R227">
        <v>0.53</v>
      </c>
      <c r="T227" s="4"/>
      <c r="U227" s="3"/>
      <c r="V227" s="3"/>
      <c r="X227" s="5"/>
      <c r="Y227" s="6"/>
      <c r="Z227" s="6"/>
      <c r="AA227" s="3"/>
      <c r="AB227" s="3"/>
      <c r="AE227" s="3"/>
    </row>
    <row r="228" spans="1:31" x14ac:dyDescent="0.35">
      <c r="A228">
        <v>224</v>
      </c>
      <c r="B228" t="s">
        <v>262</v>
      </c>
      <c r="C228" t="s">
        <v>259</v>
      </c>
      <c r="D228" t="s">
        <v>48</v>
      </c>
      <c r="E228" t="s">
        <v>32</v>
      </c>
      <c r="F228" s="1">
        <v>1.77</v>
      </c>
      <c r="G228">
        <v>197</v>
      </c>
      <c r="H228">
        <v>170</v>
      </c>
      <c r="I228" t="s">
        <v>21</v>
      </c>
      <c r="J228">
        <v>402</v>
      </c>
      <c r="K228" t="s">
        <v>22</v>
      </c>
      <c r="L228">
        <f t="shared" si="3"/>
        <v>126923.48479768123</v>
      </c>
      <c r="M228">
        <v>0.67</v>
      </c>
      <c r="N228">
        <v>25.8</v>
      </c>
      <c r="O228">
        <v>16</v>
      </c>
      <c r="P228">
        <v>612</v>
      </c>
      <c r="Q228">
        <v>195</v>
      </c>
      <c r="R228">
        <v>0.68600000000000005</v>
      </c>
      <c r="T228" s="4"/>
      <c r="U228" s="3"/>
      <c r="V228" s="3"/>
      <c r="X228" s="5"/>
      <c r="Y228" s="6"/>
      <c r="Z228" s="6"/>
      <c r="AA228" s="3"/>
      <c r="AB228" s="3"/>
      <c r="AE228" s="3"/>
    </row>
    <row r="229" spans="1:31" x14ac:dyDescent="0.35">
      <c r="A229">
        <v>225</v>
      </c>
      <c r="B229" t="s">
        <v>263</v>
      </c>
      <c r="C229" t="s">
        <v>259</v>
      </c>
      <c r="D229" t="s">
        <v>48</v>
      </c>
      <c r="E229" t="s">
        <v>32</v>
      </c>
      <c r="F229" s="1">
        <v>1.77</v>
      </c>
      <c r="G229">
        <v>199</v>
      </c>
      <c r="H229">
        <v>172</v>
      </c>
      <c r="I229" t="s">
        <v>21</v>
      </c>
      <c r="J229">
        <v>399</v>
      </c>
      <c r="K229" t="s">
        <v>22</v>
      </c>
      <c r="L229">
        <f t="shared" si="3"/>
        <v>125036.17301103716</v>
      </c>
      <c r="M229">
        <v>0.66</v>
      </c>
      <c r="N229">
        <v>25.8</v>
      </c>
      <c r="O229">
        <v>16</v>
      </c>
      <c r="P229">
        <v>612</v>
      </c>
      <c r="Q229">
        <v>195</v>
      </c>
      <c r="R229">
        <v>0.69599999999999995</v>
      </c>
      <c r="T229" s="4"/>
      <c r="U229" s="3"/>
      <c r="V229" s="3"/>
      <c r="X229" s="5"/>
      <c r="Y229" s="6"/>
      <c r="Z229" s="6"/>
      <c r="AA229" s="3"/>
      <c r="AB229" s="3"/>
      <c r="AE229" s="3"/>
    </row>
    <row r="230" spans="1:31" x14ac:dyDescent="0.35">
      <c r="A230">
        <v>226</v>
      </c>
      <c r="B230" t="s">
        <v>264</v>
      </c>
      <c r="C230" t="s">
        <v>259</v>
      </c>
      <c r="D230" t="s">
        <v>48</v>
      </c>
      <c r="E230" t="s">
        <v>32</v>
      </c>
      <c r="F230" s="1">
        <v>1.77</v>
      </c>
      <c r="G230">
        <v>202</v>
      </c>
      <c r="H230">
        <v>175</v>
      </c>
      <c r="I230" t="s">
        <v>21</v>
      </c>
      <c r="J230">
        <v>406</v>
      </c>
      <c r="K230" t="s">
        <v>22</v>
      </c>
      <c r="L230">
        <f t="shared" si="3"/>
        <v>129461.89166178179</v>
      </c>
      <c r="M230">
        <v>0.65</v>
      </c>
      <c r="N230">
        <v>25.8</v>
      </c>
      <c r="O230">
        <v>16</v>
      </c>
      <c r="P230">
        <v>612</v>
      </c>
      <c r="Q230">
        <v>195</v>
      </c>
      <c r="R230">
        <v>0.79900000000000004</v>
      </c>
      <c r="T230" s="4"/>
      <c r="U230" s="3"/>
      <c r="V230" s="3"/>
      <c r="X230" s="5"/>
      <c r="Y230" s="6"/>
      <c r="Z230" s="6"/>
      <c r="AA230" s="3"/>
      <c r="AB230" s="3"/>
      <c r="AE230" s="3"/>
    </row>
    <row r="231" spans="1:31" x14ac:dyDescent="0.35">
      <c r="A231">
        <v>227</v>
      </c>
      <c r="B231" t="s">
        <v>191</v>
      </c>
      <c r="C231" t="s">
        <v>259</v>
      </c>
      <c r="D231" t="s">
        <v>48</v>
      </c>
      <c r="E231" t="s">
        <v>32</v>
      </c>
      <c r="F231" s="1">
        <v>1.77</v>
      </c>
      <c r="G231">
        <v>204</v>
      </c>
      <c r="H231">
        <v>177</v>
      </c>
      <c r="I231" t="s">
        <v>21</v>
      </c>
      <c r="J231">
        <v>201</v>
      </c>
      <c r="K231" t="s">
        <v>22</v>
      </c>
      <c r="L231">
        <f t="shared" si="3"/>
        <v>31730.871199420308</v>
      </c>
      <c r="M231">
        <v>0.64</v>
      </c>
      <c r="N231">
        <v>19</v>
      </c>
      <c r="O231">
        <v>16</v>
      </c>
      <c r="P231">
        <v>586</v>
      </c>
      <c r="Q231">
        <v>200</v>
      </c>
      <c r="R231">
        <v>0.47799999999999998</v>
      </c>
      <c r="T231" s="4"/>
      <c r="U231" s="3"/>
      <c r="V231" s="3"/>
      <c r="X231" s="5"/>
      <c r="Y231" s="6"/>
      <c r="Z231" s="6"/>
      <c r="AA231" s="3"/>
      <c r="AB231" s="3"/>
      <c r="AE231" s="3"/>
    </row>
    <row r="232" spans="1:31" x14ac:dyDescent="0.35">
      <c r="A232">
        <v>228</v>
      </c>
      <c r="B232" t="s">
        <v>265</v>
      </c>
      <c r="C232" t="s">
        <v>259</v>
      </c>
      <c r="D232" t="s">
        <v>48</v>
      </c>
      <c r="E232" t="s">
        <v>32</v>
      </c>
      <c r="F232" s="1">
        <v>2.27</v>
      </c>
      <c r="G232">
        <v>205</v>
      </c>
      <c r="H232">
        <v>174</v>
      </c>
      <c r="I232" t="s">
        <v>21</v>
      </c>
      <c r="J232">
        <v>899</v>
      </c>
      <c r="K232" t="s">
        <v>22</v>
      </c>
      <c r="L232">
        <f t="shared" si="3"/>
        <v>634759.58105598111</v>
      </c>
      <c r="M232">
        <v>1.1599999999999999</v>
      </c>
      <c r="N232">
        <v>19</v>
      </c>
      <c r="O232">
        <v>16</v>
      </c>
      <c r="P232">
        <v>576</v>
      </c>
      <c r="Q232">
        <v>203</v>
      </c>
      <c r="R232">
        <v>1.111</v>
      </c>
      <c r="T232" s="4"/>
      <c r="U232" s="3"/>
      <c r="V232" s="3"/>
      <c r="X232" s="5"/>
      <c r="Y232" s="6"/>
      <c r="Z232" s="6"/>
      <c r="AA232" s="3"/>
      <c r="AB232" s="3"/>
      <c r="AE232" s="3"/>
    </row>
    <row r="233" spans="1:31" x14ac:dyDescent="0.35">
      <c r="A233">
        <v>229</v>
      </c>
      <c r="B233" t="s">
        <v>193</v>
      </c>
      <c r="C233" t="s">
        <v>259</v>
      </c>
      <c r="D233" t="s">
        <v>48</v>
      </c>
      <c r="E233" t="s">
        <v>32</v>
      </c>
      <c r="F233" s="1">
        <v>2.27</v>
      </c>
      <c r="G233">
        <v>203</v>
      </c>
      <c r="H233">
        <v>172</v>
      </c>
      <c r="I233" t="s">
        <v>21</v>
      </c>
      <c r="J233">
        <v>897</v>
      </c>
      <c r="K233" t="s">
        <v>22</v>
      </c>
      <c r="L233">
        <f t="shared" si="3"/>
        <v>631938.43085305742</v>
      </c>
      <c r="M233">
        <v>1.17</v>
      </c>
      <c r="N233">
        <v>19</v>
      </c>
      <c r="O233">
        <v>16</v>
      </c>
      <c r="P233">
        <v>576</v>
      </c>
      <c r="Q233">
        <v>203</v>
      </c>
      <c r="R233">
        <v>1.107</v>
      </c>
      <c r="T233" s="4"/>
      <c r="U233" s="3"/>
      <c r="V233" s="3"/>
      <c r="X233" s="5"/>
      <c r="Y233" s="6"/>
      <c r="Z233" s="6"/>
      <c r="AA233" s="3"/>
      <c r="AB233" s="3"/>
      <c r="AE233" s="3"/>
    </row>
    <row r="234" spans="1:31" x14ac:dyDescent="0.35">
      <c r="A234">
        <v>230</v>
      </c>
      <c r="B234" t="s">
        <v>266</v>
      </c>
      <c r="C234" t="s">
        <v>259</v>
      </c>
      <c r="D234" t="s">
        <v>48</v>
      </c>
      <c r="E234" t="s">
        <v>32</v>
      </c>
      <c r="F234" s="1">
        <v>2.27</v>
      </c>
      <c r="G234">
        <v>204</v>
      </c>
      <c r="H234">
        <v>173</v>
      </c>
      <c r="I234" t="s">
        <v>21</v>
      </c>
      <c r="J234">
        <v>901</v>
      </c>
      <c r="K234" t="s">
        <v>22</v>
      </c>
      <c r="L234">
        <f t="shared" si="3"/>
        <v>637587.01444421196</v>
      </c>
      <c r="M234">
        <v>1.1599999999999999</v>
      </c>
      <c r="N234">
        <v>19</v>
      </c>
      <c r="O234">
        <v>16</v>
      </c>
      <c r="P234">
        <v>576</v>
      </c>
      <c r="Q234">
        <v>203</v>
      </c>
      <c r="R234">
        <v>1.079</v>
      </c>
      <c r="T234" s="4"/>
      <c r="U234" s="3"/>
      <c r="V234" s="3"/>
      <c r="X234" s="5"/>
      <c r="Y234" s="6"/>
      <c r="Z234" s="6"/>
      <c r="AA234" s="3"/>
      <c r="AB234" s="3"/>
      <c r="AE234" s="3"/>
    </row>
    <row r="235" spans="1:31" x14ac:dyDescent="0.35">
      <c r="A235">
        <v>231</v>
      </c>
      <c r="B235" t="s">
        <v>267</v>
      </c>
      <c r="C235" t="s">
        <v>268</v>
      </c>
      <c r="D235" t="s">
        <v>48</v>
      </c>
      <c r="E235" t="s">
        <v>32</v>
      </c>
      <c r="F235" s="1">
        <v>1.6</v>
      </c>
      <c r="G235">
        <v>150</v>
      </c>
      <c r="H235">
        <v>98</v>
      </c>
      <c r="I235" t="s">
        <v>32</v>
      </c>
      <c r="J235">
        <v>160</v>
      </c>
      <c r="K235" t="s">
        <v>22</v>
      </c>
      <c r="L235">
        <f t="shared" si="3"/>
        <v>25600</v>
      </c>
      <c r="M235">
        <v>0.8</v>
      </c>
      <c r="N235">
        <v>25.9</v>
      </c>
      <c r="O235" t="s">
        <v>22</v>
      </c>
      <c r="P235">
        <v>414</v>
      </c>
      <c r="Q235" t="s">
        <v>22</v>
      </c>
      <c r="R235">
        <v>0.21</v>
      </c>
      <c r="T235" s="4"/>
      <c r="U235" s="3"/>
      <c r="V235" s="3"/>
      <c r="X235" s="5"/>
      <c r="Y235" s="6"/>
      <c r="Z235" s="6"/>
      <c r="AA235" s="3"/>
      <c r="AB235" s="3"/>
      <c r="AE235" s="3"/>
    </row>
    <row r="236" spans="1:31" x14ac:dyDescent="0.35">
      <c r="A236">
        <v>232</v>
      </c>
      <c r="B236" t="s">
        <v>269</v>
      </c>
      <c r="C236" t="s">
        <v>268</v>
      </c>
      <c r="D236" t="s">
        <v>48</v>
      </c>
      <c r="E236" t="s">
        <v>32</v>
      </c>
      <c r="F236" s="1">
        <v>1.6</v>
      </c>
      <c r="G236">
        <v>150</v>
      </c>
      <c r="H236">
        <v>95</v>
      </c>
      <c r="I236" t="s">
        <v>32</v>
      </c>
      <c r="J236">
        <v>200</v>
      </c>
      <c r="K236" t="s">
        <v>22</v>
      </c>
      <c r="L236">
        <f t="shared" si="3"/>
        <v>40000</v>
      </c>
      <c r="M236">
        <v>0.83</v>
      </c>
      <c r="N236">
        <v>25</v>
      </c>
      <c r="O236" t="s">
        <v>22</v>
      </c>
      <c r="P236">
        <v>414</v>
      </c>
      <c r="Q236" t="s">
        <v>22</v>
      </c>
      <c r="R236">
        <v>0.22</v>
      </c>
      <c r="T236" s="4"/>
      <c r="U236" s="3"/>
      <c r="V236" s="3"/>
      <c r="X236" s="5"/>
      <c r="Y236" s="6"/>
      <c r="Z236" s="6"/>
      <c r="AA236" s="3"/>
      <c r="AB236" s="3"/>
      <c r="AE236" s="3"/>
    </row>
    <row r="237" spans="1:31" x14ac:dyDescent="0.35">
      <c r="A237">
        <v>233</v>
      </c>
      <c r="B237" t="s">
        <v>270</v>
      </c>
      <c r="C237" t="s">
        <v>268</v>
      </c>
      <c r="D237" t="s">
        <v>48</v>
      </c>
      <c r="E237" t="s">
        <v>32</v>
      </c>
      <c r="F237" s="1">
        <v>1.6</v>
      </c>
      <c r="G237">
        <v>150</v>
      </c>
      <c r="H237">
        <v>104</v>
      </c>
      <c r="I237" t="s">
        <v>32</v>
      </c>
      <c r="J237">
        <v>320</v>
      </c>
      <c r="K237" t="s">
        <v>22</v>
      </c>
      <c r="L237">
        <f t="shared" si="3"/>
        <v>102400</v>
      </c>
      <c r="M237">
        <v>0.76</v>
      </c>
      <c r="N237">
        <v>32.200000000000003</v>
      </c>
      <c r="O237" t="s">
        <v>22</v>
      </c>
      <c r="P237">
        <v>414</v>
      </c>
      <c r="Q237" t="s">
        <v>22</v>
      </c>
      <c r="R237">
        <v>0.28000000000000003</v>
      </c>
      <c r="T237" s="4"/>
      <c r="U237" s="3"/>
      <c r="V237" s="3"/>
      <c r="X237" s="5"/>
      <c r="Y237" s="6"/>
      <c r="Z237" s="6"/>
      <c r="AA237" s="3"/>
      <c r="AB237" s="3"/>
      <c r="AE237" s="3"/>
    </row>
    <row r="238" spans="1:31" x14ac:dyDescent="0.35">
      <c r="A238">
        <v>234</v>
      </c>
      <c r="B238" t="s">
        <v>271</v>
      </c>
      <c r="C238" t="s">
        <v>268</v>
      </c>
      <c r="D238" t="s">
        <v>48</v>
      </c>
      <c r="E238" t="s">
        <v>32</v>
      </c>
      <c r="F238" s="1">
        <v>1.6</v>
      </c>
      <c r="G238">
        <v>150</v>
      </c>
      <c r="H238">
        <v>93</v>
      </c>
      <c r="I238" t="s">
        <v>126</v>
      </c>
      <c r="J238">
        <v>160</v>
      </c>
      <c r="K238">
        <v>240</v>
      </c>
      <c r="L238">
        <f t="shared" si="3"/>
        <v>38400</v>
      </c>
      <c r="M238">
        <v>0.84</v>
      </c>
      <c r="N238">
        <v>22.3</v>
      </c>
      <c r="O238" t="s">
        <v>22</v>
      </c>
      <c r="P238">
        <v>414</v>
      </c>
      <c r="Q238" t="s">
        <v>22</v>
      </c>
      <c r="R238">
        <v>0.22</v>
      </c>
      <c r="T238" s="4"/>
      <c r="U238" s="3"/>
      <c r="V238" s="3"/>
      <c r="X238" s="5"/>
      <c r="Y238" s="6"/>
      <c r="Z238" s="6"/>
      <c r="AA238" s="3"/>
      <c r="AB238" s="3"/>
      <c r="AE238" s="3"/>
    </row>
    <row r="239" spans="1:31" x14ac:dyDescent="0.35">
      <c r="A239">
        <v>235</v>
      </c>
      <c r="B239" t="s">
        <v>272</v>
      </c>
      <c r="C239" t="s">
        <v>268</v>
      </c>
      <c r="D239" t="s">
        <v>48</v>
      </c>
      <c r="E239" t="s">
        <v>32</v>
      </c>
      <c r="F239" s="1">
        <v>1.6</v>
      </c>
      <c r="G239">
        <v>150</v>
      </c>
      <c r="H239">
        <v>92</v>
      </c>
      <c r="I239" t="s">
        <v>126</v>
      </c>
      <c r="J239">
        <v>133</v>
      </c>
      <c r="K239">
        <v>267</v>
      </c>
      <c r="L239">
        <f t="shared" si="3"/>
        <v>35511</v>
      </c>
      <c r="M239">
        <v>0.85</v>
      </c>
      <c r="N239">
        <v>27</v>
      </c>
      <c r="O239" t="s">
        <v>22</v>
      </c>
      <c r="P239">
        <v>414</v>
      </c>
      <c r="Q239" t="s">
        <v>22</v>
      </c>
      <c r="R239">
        <v>0.215</v>
      </c>
      <c r="T239" s="4"/>
      <c r="U239" s="3"/>
      <c r="V239" s="3"/>
      <c r="X239" s="5"/>
      <c r="Y239" s="6"/>
      <c r="Z239" s="6"/>
      <c r="AA239" s="3"/>
      <c r="AB239" s="3"/>
      <c r="AE239" s="3"/>
    </row>
    <row r="240" spans="1:31" x14ac:dyDescent="0.35">
      <c r="A240">
        <v>236</v>
      </c>
      <c r="B240" t="s">
        <v>273</v>
      </c>
      <c r="C240" t="s">
        <v>268</v>
      </c>
      <c r="D240" t="s">
        <v>48</v>
      </c>
      <c r="E240" t="s">
        <v>32</v>
      </c>
      <c r="F240" s="1">
        <v>1.6</v>
      </c>
      <c r="G240">
        <v>150</v>
      </c>
      <c r="H240">
        <v>90</v>
      </c>
      <c r="I240" t="s">
        <v>126</v>
      </c>
      <c r="J240">
        <v>100</v>
      </c>
      <c r="K240">
        <v>300</v>
      </c>
      <c r="L240">
        <f t="shared" si="3"/>
        <v>30000</v>
      </c>
      <c r="M240">
        <v>0.87</v>
      </c>
      <c r="N240">
        <v>21.2</v>
      </c>
      <c r="O240" t="s">
        <v>22</v>
      </c>
      <c r="P240">
        <v>414</v>
      </c>
      <c r="Q240" t="s">
        <v>22</v>
      </c>
      <c r="R240">
        <v>0.21</v>
      </c>
      <c r="T240" s="4"/>
      <c r="U240" s="3"/>
      <c r="V240" s="3"/>
      <c r="X240" s="5"/>
      <c r="Y240" s="6"/>
      <c r="Z240" s="6"/>
      <c r="AA240" s="3"/>
      <c r="AB240" s="3"/>
      <c r="AE240" s="3"/>
    </row>
    <row r="241" spans="1:31" x14ac:dyDescent="0.35">
      <c r="A241">
        <v>237</v>
      </c>
      <c r="B241" t="s">
        <v>274</v>
      </c>
      <c r="C241" t="s">
        <v>268</v>
      </c>
      <c r="D241" t="s">
        <v>48</v>
      </c>
      <c r="E241" t="s">
        <v>32</v>
      </c>
      <c r="F241" s="1">
        <v>1.6</v>
      </c>
      <c r="G241">
        <v>150</v>
      </c>
      <c r="H241">
        <v>92</v>
      </c>
      <c r="I241" t="s">
        <v>126</v>
      </c>
      <c r="J241">
        <v>80</v>
      </c>
      <c r="K241">
        <v>325</v>
      </c>
      <c r="L241">
        <f t="shared" si="3"/>
        <v>26000</v>
      </c>
      <c r="M241">
        <v>0.85</v>
      </c>
      <c r="N241">
        <v>23.3</v>
      </c>
      <c r="O241" t="s">
        <v>22</v>
      </c>
      <c r="P241">
        <v>414</v>
      </c>
      <c r="Q241" t="s">
        <v>22</v>
      </c>
      <c r="R241">
        <v>0.17599999999999999</v>
      </c>
      <c r="T241" s="4"/>
      <c r="U241" s="3"/>
      <c r="V241" s="3"/>
      <c r="X241" s="5"/>
      <c r="Y241" s="6"/>
      <c r="Z241" s="6"/>
      <c r="AA241" s="3"/>
      <c r="AB241" s="3"/>
      <c r="AE241" s="3"/>
    </row>
    <row r="242" spans="1:31" x14ac:dyDescent="0.35">
      <c r="A242">
        <v>238</v>
      </c>
      <c r="B242" t="s">
        <v>275</v>
      </c>
      <c r="C242" t="s">
        <v>268</v>
      </c>
      <c r="D242" t="s">
        <v>48</v>
      </c>
      <c r="E242" t="s">
        <v>32</v>
      </c>
      <c r="F242" s="1">
        <v>1.6</v>
      </c>
      <c r="G242">
        <v>150</v>
      </c>
      <c r="H242">
        <v>99</v>
      </c>
      <c r="I242" t="s">
        <v>126</v>
      </c>
      <c r="J242">
        <v>80</v>
      </c>
      <c r="K242">
        <v>330</v>
      </c>
      <c r="L242">
        <f t="shared" si="3"/>
        <v>26400</v>
      </c>
      <c r="M242">
        <v>0.79</v>
      </c>
      <c r="N242">
        <v>29.4</v>
      </c>
      <c r="O242" t="s">
        <v>22</v>
      </c>
      <c r="P242">
        <v>414</v>
      </c>
      <c r="Q242" t="s">
        <v>22</v>
      </c>
      <c r="R242">
        <v>0.22500000000000001</v>
      </c>
      <c r="T242" s="4"/>
      <c r="U242" s="3"/>
      <c r="V242" s="3"/>
      <c r="X242" s="5"/>
      <c r="Y242" s="6"/>
      <c r="Z242" s="6"/>
      <c r="AA242" s="3"/>
      <c r="AB242" s="3"/>
      <c r="AE242" s="3"/>
    </row>
    <row r="243" spans="1:31" x14ac:dyDescent="0.35">
      <c r="A243">
        <v>239</v>
      </c>
      <c r="B243" t="s">
        <v>276</v>
      </c>
      <c r="C243" t="s">
        <v>268</v>
      </c>
      <c r="D243" t="s">
        <v>48</v>
      </c>
      <c r="E243" t="s">
        <v>32</v>
      </c>
      <c r="F243" s="1">
        <v>1.6</v>
      </c>
      <c r="G243">
        <v>150</v>
      </c>
      <c r="H243">
        <v>99</v>
      </c>
      <c r="I243" t="s">
        <v>32</v>
      </c>
      <c r="J243">
        <v>160</v>
      </c>
      <c r="K243" t="s">
        <v>22</v>
      </c>
      <c r="L243">
        <f t="shared" si="3"/>
        <v>25600</v>
      </c>
      <c r="M243">
        <v>1.36</v>
      </c>
      <c r="N243">
        <v>23.1</v>
      </c>
      <c r="O243" t="s">
        <v>22</v>
      </c>
      <c r="P243">
        <v>416</v>
      </c>
      <c r="Q243" t="s">
        <v>22</v>
      </c>
      <c r="R243">
        <v>0.26</v>
      </c>
      <c r="T243" s="4"/>
      <c r="U243" s="3"/>
      <c r="V243" s="3"/>
      <c r="X243" s="5"/>
      <c r="Y243" s="6"/>
      <c r="Z243" s="6"/>
      <c r="AA243" s="3"/>
      <c r="AB243" s="3"/>
      <c r="AE243" s="3"/>
    </row>
    <row r="244" spans="1:31" x14ac:dyDescent="0.35">
      <c r="A244">
        <v>240</v>
      </c>
      <c r="B244" t="s">
        <v>277</v>
      </c>
      <c r="C244" t="s">
        <v>268</v>
      </c>
      <c r="D244" t="s">
        <v>48</v>
      </c>
      <c r="E244" t="s">
        <v>32</v>
      </c>
      <c r="F244" s="1">
        <v>1.6</v>
      </c>
      <c r="G244">
        <v>150</v>
      </c>
      <c r="H244">
        <v>99</v>
      </c>
      <c r="I244" t="s">
        <v>32</v>
      </c>
      <c r="J244">
        <v>320</v>
      </c>
      <c r="K244" t="s">
        <v>22</v>
      </c>
      <c r="L244">
        <f t="shared" si="3"/>
        <v>102400</v>
      </c>
      <c r="M244">
        <v>1.36</v>
      </c>
      <c r="N244">
        <v>29.1</v>
      </c>
      <c r="O244" t="s">
        <v>22</v>
      </c>
      <c r="P244">
        <v>416</v>
      </c>
      <c r="Q244" t="s">
        <v>22</v>
      </c>
      <c r="R244">
        <v>0.36</v>
      </c>
      <c r="T244" s="4"/>
      <c r="U244" s="3"/>
      <c r="V244" s="3"/>
      <c r="X244" s="5"/>
      <c r="Y244" s="6"/>
      <c r="Z244" s="6"/>
      <c r="AA244" s="3"/>
      <c r="AB244" s="3"/>
      <c r="AE244" s="3"/>
    </row>
    <row r="245" spans="1:31" x14ac:dyDescent="0.35">
      <c r="A245">
        <v>241</v>
      </c>
      <c r="B245" t="s">
        <v>278</v>
      </c>
      <c r="C245" t="s">
        <v>268</v>
      </c>
      <c r="D245" t="s">
        <v>48</v>
      </c>
      <c r="E245" t="s">
        <v>32</v>
      </c>
      <c r="F245" s="1">
        <v>1.6</v>
      </c>
      <c r="G245">
        <v>150</v>
      </c>
      <c r="H245">
        <v>91</v>
      </c>
      <c r="I245" t="s">
        <v>126</v>
      </c>
      <c r="J245">
        <v>133</v>
      </c>
      <c r="K245">
        <v>267</v>
      </c>
      <c r="L245">
        <f t="shared" si="3"/>
        <v>35511</v>
      </c>
      <c r="M245">
        <v>1.58</v>
      </c>
      <c r="N245">
        <v>19.2</v>
      </c>
      <c r="O245" t="s">
        <v>22</v>
      </c>
      <c r="P245">
        <v>352</v>
      </c>
      <c r="Q245" t="s">
        <v>22</v>
      </c>
      <c r="R245">
        <v>0.252</v>
      </c>
      <c r="T245" s="4"/>
      <c r="U245" s="3"/>
      <c r="V245" s="3"/>
      <c r="X245" s="5"/>
      <c r="Y245" s="6"/>
      <c r="Z245" s="6"/>
      <c r="AA245" s="3"/>
      <c r="AB245" s="3"/>
      <c r="AE245" s="3"/>
    </row>
    <row r="246" spans="1:31" x14ac:dyDescent="0.35">
      <c r="A246">
        <v>242</v>
      </c>
      <c r="B246" t="s">
        <v>279</v>
      </c>
      <c r="C246" t="s">
        <v>268</v>
      </c>
      <c r="D246" t="s">
        <v>48</v>
      </c>
      <c r="E246" t="s">
        <v>32</v>
      </c>
      <c r="F246" s="1">
        <v>1.6</v>
      </c>
      <c r="G246">
        <v>150</v>
      </c>
      <c r="H246">
        <v>92</v>
      </c>
      <c r="I246" t="s">
        <v>126</v>
      </c>
      <c r="J246">
        <v>100</v>
      </c>
      <c r="K246">
        <v>300</v>
      </c>
      <c r="L246">
        <f t="shared" si="3"/>
        <v>30000</v>
      </c>
      <c r="M246">
        <v>1.47</v>
      </c>
      <c r="N246">
        <v>15.5</v>
      </c>
      <c r="O246" t="s">
        <v>22</v>
      </c>
      <c r="P246">
        <v>352</v>
      </c>
      <c r="Q246" t="s">
        <v>22</v>
      </c>
      <c r="R246">
        <v>0.22</v>
      </c>
      <c r="T246" s="4"/>
      <c r="U246" s="3"/>
      <c r="V246" s="3"/>
      <c r="X246" s="5"/>
      <c r="Y246" s="6"/>
      <c r="Z246" s="6"/>
      <c r="AA246" s="3"/>
      <c r="AB246" s="3"/>
      <c r="AE246" s="3"/>
    </row>
    <row r="247" spans="1:31" x14ac:dyDescent="0.35">
      <c r="A247">
        <v>243</v>
      </c>
      <c r="B247" t="s">
        <v>280</v>
      </c>
      <c r="C247" t="s">
        <v>268</v>
      </c>
      <c r="D247" t="s">
        <v>48</v>
      </c>
      <c r="E247" t="s">
        <v>32</v>
      </c>
      <c r="F247" s="1">
        <v>1.6</v>
      </c>
      <c r="G247">
        <v>150</v>
      </c>
      <c r="H247">
        <v>92</v>
      </c>
      <c r="I247" t="s">
        <v>126</v>
      </c>
      <c r="J247">
        <v>80</v>
      </c>
      <c r="K247">
        <v>320</v>
      </c>
      <c r="L247">
        <f t="shared" si="3"/>
        <v>25600</v>
      </c>
      <c r="M247">
        <v>1.47</v>
      </c>
      <c r="N247">
        <v>14.1</v>
      </c>
      <c r="O247" t="s">
        <v>22</v>
      </c>
      <c r="P247">
        <v>352</v>
      </c>
      <c r="Q247" t="s">
        <v>22</v>
      </c>
      <c r="R247">
        <v>0.21</v>
      </c>
      <c r="T247" s="4"/>
      <c r="U247" s="3"/>
      <c r="V247" s="3"/>
      <c r="X247" s="5"/>
      <c r="Y247" s="6"/>
      <c r="Z247" s="6"/>
      <c r="AA247" s="3"/>
      <c r="AB247" s="3"/>
      <c r="AE247" s="3"/>
    </row>
    <row r="248" spans="1:31" x14ac:dyDescent="0.35">
      <c r="A248">
        <v>244</v>
      </c>
      <c r="B248" t="s">
        <v>281</v>
      </c>
      <c r="C248" t="s">
        <v>47</v>
      </c>
      <c r="D248" t="s">
        <v>48</v>
      </c>
      <c r="E248" t="s">
        <v>32</v>
      </c>
      <c r="F248" s="1">
        <v>1.5</v>
      </c>
      <c r="G248">
        <v>90</v>
      </c>
      <c r="H248">
        <v>70</v>
      </c>
      <c r="I248" t="s">
        <v>32</v>
      </c>
      <c r="J248">
        <v>150</v>
      </c>
      <c r="K248" t="s">
        <v>22</v>
      </c>
      <c r="L248">
        <f t="shared" si="3"/>
        <v>22500</v>
      </c>
      <c r="M248">
        <v>1.52</v>
      </c>
      <c r="N248">
        <v>75</v>
      </c>
      <c r="O248">
        <v>20</v>
      </c>
      <c r="P248">
        <v>490</v>
      </c>
      <c r="Q248" t="s">
        <v>22</v>
      </c>
      <c r="R248">
        <v>0.25800000000000001</v>
      </c>
      <c r="T248" s="4"/>
      <c r="U248" s="3"/>
      <c r="V248" s="3"/>
      <c r="X248" s="5"/>
      <c r="Y248" s="6"/>
      <c r="Z248" s="6"/>
      <c r="AA248" s="3"/>
      <c r="AB248" s="3"/>
      <c r="AE248" s="3"/>
    </row>
    <row r="249" spans="1:31" x14ac:dyDescent="0.35">
      <c r="A249">
        <v>245</v>
      </c>
      <c r="B249" t="s">
        <v>282</v>
      </c>
      <c r="C249" t="s">
        <v>47</v>
      </c>
      <c r="D249" t="s">
        <v>48</v>
      </c>
      <c r="E249" t="s">
        <v>32</v>
      </c>
      <c r="F249" s="1">
        <v>1.5</v>
      </c>
      <c r="G249">
        <v>90</v>
      </c>
      <c r="H249">
        <v>70</v>
      </c>
      <c r="I249" t="s">
        <v>32</v>
      </c>
      <c r="J249">
        <v>150</v>
      </c>
      <c r="K249" t="s">
        <v>22</v>
      </c>
      <c r="L249">
        <f t="shared" si="3"/>
        <v>22500</v>
      </c>
      <c r="M249">
        <v>2</v>
      </c>
      <c r="N249">
        <v>68</v>
      </c>
      <c r="O249">
        <v>20</v>
      </c>
      <c r="P249">
        <v>490</v>
      </c>
      <c r="Q249" t="s">
        <v>22</v>
      </c>
      <c r="R249">
        <v>0.26700000000000002</v>
      </c>
      <c r="T249" s="4"/>
      <c r="U249" s="3"/>
      <c r="V249" s="3"/>
      <c r="X249" s="5"/>
      <c r="Y249" s="6"/>
      <c r="Z249" s="6"/>
      <c r="AA249" s="3"/>
      <c r="AB249" s="3"/>
      <c r="AE249" s="3"/>
    </row>
    <row r="250" spans="1:31" x14ac:dyDescent="0.35">
      <c r="A250">
        <v>246</v>
      </c>
      <c r="B250">
        <v>2</v>
      </c>
      <c r="C250" t="s">
        <v>283</v>
      </c>
      <c r="D250" t="s">
        <v>21</v>
      </c>
      <c r="E250" t="s">
        <v>21</v>
      </c>
      <c r="F250" s="1">
        <v>0.27900000000000003</v>
      </c>
      <c r="G250">
        <v>51</v>
      </c>
      <c r="H250">
        <v>38</v>
      </c>
      <c r="I250" t="s">
        <v>21</v>
      </c>
      <c r="J250">
        <v>102</v>
      </c>
      <c r="K250" t="s">
        <v>22</v>
      </c>
      <c r="L250">
        <f t="shared" si="3"/>
        <v>8171.2824919870518</v>
      </c>
      <c r="M250">
        <v>2.04</v>
      </c>
      <c r="N250">
        <v>13.4</v>
      </c>
      <c r="O250" t="s">
        <v>22</v>
      </c>
      <c r="P250">
        <v>550</v>
      </c>
      <c r="Q250">
        <v>195</v>
      </c>
      <c r="R250">
        <v>3.6999999999999998E-2</v>
      </c>
      <c r="T250" s="4"/>
      <c r="U250" s="3"/>
      <c r="V250" s="3"/>
      <c r="X250" s="5"/>
      <c r="Y250" s="6"/>
      <c r="Z250" s="6"/>
      <c r="AA250" s="3"/>
      <c r="AB250" s="3"/>
      <c r="AE250" s="3"/>
    </row>
    <row r="251" spans="1:31" x14ac:dyDescent="0.35">
      <c r="A251">
        <v>247</v>
      </c>
      <c r="B251">
        <v>3</v>
      </c>
      <c r="C251" t="s">
        <v>283</v>
      </c>
      <c r="D251" t="s">
        <v>21</v>
      </c>
      <c r="E251" t="s">
        <v>21</v>
      </c>
      <c r="F251" s="1">
        <v>0.27900000000000003</v>
      </c>
      <c r="G251">
        <v>51</v>
      </c>
      <c r="H251">
        <v>38</v>
      </c>
      <c r="I251" t="s">
        <v>21</v>
      </c>
      <c r="J251">
        <v>51</v>
      </c>
      <c r="K251" t="s">
        <v>22</v>
      </c>
      <c r="L251">
        <f t="shared" si="3"/>
        <v>2042.8206229967629</v>
      </c>
      <c r="M251">
        <v>2.04</v>
      </c>
      <c r="N251">
        <v>13.4</v>
      </c>
      <c r="O251" t="s">
        <v>22</v>
      </c>
      <c r="P251">
        <v>550</v>
      </c>
      <c r="Q251">
        <v>210</v>
      </c>
      <c r="R251">
        <v>2.5000000000000001E-2</v>
      </c>
      <c r="T251" s="4"/>
      <c r="U251" s="3"/>
      <c r="V251" s="3"/>
      <c r="X251" s="5"/>
      <c r="Y251" s="6"/>
      <c r="Z251" s="6"/>
      <c r="AA251" s="3"/>
      <c r="AB251" s="3"/>
      <c r="AE251" s="3"/>
    </row>
    <row r="252" spans="1:31" x14ac:dyDescent="0.35">
      <c r="A252">
        <v>248</v>
      </c>
      <c r="B252">
        <v>4</v>
      </c>
      <c r="C252" t="s">
        <v>283</v>
      </c>
      <c r="D252" t="s">
        <v>21</v>
      </c>
      <c r="E252" t="s">
        <v>21</v>
      </c>
      <c r="F252" s="1">
        <v>0.22900000000000001</v>
      </c>
      <c r="G252">
        <v>51</v>
      </c>
      <c r="H252">
        <v>38</v>
      </c>
      <c r="I252" t="s">
        <v>21</v>
      </c>
      <c r="J252">
        <v>51</v>
      </c>
      <c r="K252" t="s">
        <v>22</v>
      </c>
      <c r="L252">
        <f t="shared" si="3"/>
        <v>2042.8206229967629</v>
      </c>
      <c r="M252">
        <v>2.04</v>
      </c>
      <c r="N252">
        <v>13.4</v>
      </c>
      <c r="O252" t="s">
        <v>22</v>
      </c>
      <c r="P252">
        <v>550</v>
      </c>
      <c r="Q252">
        <v>213</v>
      </c>
      <c r="R252">
        <v>3.5000000000000003E-2</v>
      </c>
      <c r="T252" s="4"/>
      <c r="U252" s="3"/>
      <c r="V252" s="3"/>
      <c r="X252" s="5"/>
      <c r="Y252" s="6"/>
      <c r="Z252" s="6"/>
      <c r="AA252" s="3"/>
      <c r="AB252" s="3"/>
      <c r="AE252" s="3"/>
    </row>
    <row r="253" spans="1:31" x14ac:dyDescent="0.35">
      <c r="A253">
        <v>249</v>
      </c>
      <c r="B253">
        <v>5</v>
      </c>
      <c r="C253" t="s">
        <v>283</v>
      </c>
      <c r="D253" t="s">
        <v>21</v>
      </c>
      <c r="E253" t="s">
        <v>21</v>
      </c>
      <c r="F253" s="1">
        <v>0.38100000000000001</v>
      </c>
      <c r="G253">
        <v>51</v>
      </c>
      <c r="H253">
        <v>38</v>
      </c>
      <c r="I253" t="s">
        <v>21</v>
      </c>
      <c r="J253">
        <v>102</v>
      </c>
      <c r="K253" t="s">
        <v>22</v>
      </c>
      <c r="L253">
        <f t="shared" si="3"/>
        <v>8171.2824919870518</v>
      </c>
      <c r="M253">
        <v>2.04</v>
      </c>
      <c r="N253">
        <v>13.4</v>
      </c>
      <c r="O253" t="s">
        <v>22</v>
      </c>
      <c r="P253">
        <v>550</v>
      </c>
      <c r="Q253">
        <v>231</v>
      </c>
      <c r="R253">
        <v>3.3000000000000002E-2</v>
      </c>
      <c r="T253" s="4"/>
      <c r="U253" s="3"/>
      <c r="V253" s="3"/>
      <c r="X253" s="5"/>
      <c r="Y253" s="6"/>
      <c r="Z253" s="6"/>
      <c r="AA253" s="3"/>
      <c r="AB253" s="3"/>
      <c r="AE253" s="3"/>
    </row>
    <row r="254" spans="1:31" x14ac:dyDescent="0.35">
      <c r="A254">
        <v>250</v>
      </c>
      <c r="B254">
        <v>6</v>
      </c>
      <c r="C254" t="s">
        <v>283</v>
      </c>
      <c r="D254" t="s">
        <v>21</v>
      </c>
      <c r="E254" t="s">
        <v>21</v>
      </c>
      <c r="F254" s="1">
        <v>0.38100000000000001</v>
      </c>
      <c r="G254">
        <v>51</v>
      </c>
      <c r="H254">
        <v>38</v>
      </c>
      <c r="I254" t="s">
        <v>21</v>
      </c>
      <c r="J254">
        <v>152</v>
      </c>
      <c r="K254" t="s">
        <v>22</v>
      </c>
      <c r="L254">
        <f t="shared" si="3"/>
        <v>18145.839167134644</v>
      </c>
      <c r="M254">
        <v>2.04</v>
      </c>
      <c r="N254">
        <v>13.4</v>
      </c>
      <c r="O254" t="s">
        <v>22</v>
      </c>
      <c r="P254">
        <v>550</v>
      </c>
      <c r="Q254">
        <v>195</v>
      </c>
      <c r="R254">
        <v>4.9000000000000002E-2</v>
      </c>
      <c r="T254" s="4"/>
      <c r="U254" s="3"/>
      <c r="V254" s="3"/>
      <c r="X254" s="5"/>
      <c r="Y254" s="6"/>
      <c r="Z254" s="6"/>
      <c r="AA254" s="3"/>
      <c r="AB254" s="3"/>
      <c r="AE254" s="3"/>
    </row>
    <row r="255" spans="1:31" x14ac:dyDescent="0.35">
      <c r="A255">
        <v>251</v>
      </c>
      <c r="B255">
        <v>7</v>
      </c>
      <c r="C255" t="s">
        <v>283</v>
      </c>
      <c r="D255" t="s">
        <v>21</v>
      </c>
      <c r="E255" t="s">
        <v>21</v>
      </c>
      <c r="F255" s="1">
        <v>0.68600000000000005</v>
      </c>
      <c r="G255">
        <v>51</v>
      </c>
      <c r="H255">
        <v>38</v>
      </c>
      <c r="I255" t="s">
        <v>21</v>
      </c>
      <c r="J255">
        <v>102</v>
      </c>
      <c r="K255" t="s">
        <v>22</v>
      </c>
      <c r="L255">
        <f t="shared" si="3"/>
        <v>8171.2824919870518</v>
      </c>
      <c r="M255">
        <v>2.04</v>
      </c>
      <c r="N255">
        <v>13.4</v>
      </c>
      <c r="O255" t="s">
        <v>22</v>
      </c>
      <c r="P255">
        <v>550</v>
      </c>
      <c r="Q255">
        <v>210</v>
      </c>
      <c r="R255">
        <v>3.4000000000000002E-2</v>
      </c>
      <c r="T255" s="4"/>
      <c r="U255" s="3"/>
      <c r="V255" s="3"/>
      <c r="X255" s="5"/>
      <c r="Y255" s="6"/>
      <c r="Z255" s="6"/>
      <c r="AA255" s="3"/>
      <c r="AB255" s="3"/>
      <c r="AE255" s="3"/>
    </row>
    <row r="256" spans="1:31" x14ac:dyDescent="0.35">
      <c r="A256">
        <v>252</v>
      </c>
      <c r="B256">
        <v>8</v>
      </c>
      <c r="C256" t="s">
        <v>283</v>
      </c>
      <c r="D256" t="s">
        <v>21</v>
      </c>
      <c r="E256" t="s">
        <v>21</v>
      </c>
      <c r="F256" s="1">
        <v>1.1180000000000001</v>
      </c>
      <c r="G256">
        <v>102</v>
      </c>
      <c r="H256">
        <v>76</v>
      </c>
      <c r="I256" t="s">
        <v>21</v>
      </c>
      <c r="J256">
        <v>102</v>
      </c>
      <c r="K256" t="s">
        <v>22</v>
      </c>
      <c r="L256">
        <f t="shared" si="3"/>
        <v>8171.2824919870518</v>
      </c>
      <c r="M256">
        <v>2.0499999999999998</v>
      </c>
      <c r="N256">
        <v>23.3</v>
      </c>
      <c r="O256" t="s">
        <v>22</v>
      </c>
      <c r="P256">
        <v>414</v>
      </c>
      <c r="Q256">
        <v>231</v>
      </c>
      <c r="R256">
        <v>0.129</v>
      </c>
      <c r="T256" s="4"/>
      <c r="U256" s="3"/>
      <c r="V256" s="3"/>
      <c r="X256" s="5"/>
      <c r="Y256" s="6"/>
      <c r="Z256" s="6"/>
      <c r="AA256" s="3"/>
      <c r="AB256" s="3"/>
      <c r="AE256" s="3"/>
    </row>
    <row r="257" spans="1:31" x14ac:dyDescent="0.35">
      <c r="A257">
        <v>253</v>
      </c>
      <c r="B257">
        <v>9</v>
      </c>
      <c r="C257" t="s">
        <v>283</v>
      </c>
      <c r="D257" t="s">
        <v>21</v>
      </c>
      <c r="E257" t="s">
        <v>21</v>
      </c>
      <c r="F257" s="1">
        <v>0.68600000000000005</v>
      </c>
      <c r="G257">
        <v>102</v>
      </c>
      <c r="H257">
        <v>76</v>
      </c>
      <c r="I257" t="s">
        <v>21</v>
      </c>
      <c r="J257">
        <v>102</v>
      </c>
      <c r="K257" t="s">
        <v>22</v>
      </c>
      <c r="L257">
        <f t="shared" si="3"/>
        <v>8171.2824919870518</v>
      </c>
      <c r="M257">
        <v>2.0499999999999998</v>
      </c>
      <c r="N257">
        <v>21.9</v>
      </c>
      <c r="O257" t="s">
        <v>22</v>
      </c>
      <c r="P257">
        <v>414</v>
      </c>
      <c r="Q257">
        <v>179</v>
      </c>
      <c r="R257">
        <v>0.13600000000000001</v>
      </c>
      <c r="T257" s="4"/>
      <c r="U257" s="3"/>
      <c r="V257" s="3"/>
      <c r="X257" s="5"/>
      <c r="Y257" s="6"/>
      <c r="Z257" s="6"/>
      <c r="AA257" s="3"/>
      <c r="AB257" s="3"/>
      <c r="AE257" s="3"/>
    </row>
    <row r="258" spans="1:31" x14ac:dyDescent="0.35">
      <c r="A258">
        <v>254</v>
      </c>
      <c r="B258">
        <v>10</v>
      </c>
      <c r="C258" t="s">
        <v>283</v>
      </c>
      <c r="D258" t="s">
        <v>21</v>
      </c>
      <c r="E258" t="s">
        <v>21</v>
      </c>
      <c r="F258" s="1">
        <v>0.38100000000000001</v>
      </c>
      <c r="G258">
        <v>102</v>
      </c>
      <c r="H258">
        <v>76</v>
      </c>
      <c r="I258" t="s">
        <v>21</v>
      </c>
      <c r="J258">
        <v>102</v>
      </c>
      <c r="K258" t="s">
        <v>22</v>
      </c>
      <c r="L258">
        <f t="shared" si="3"/>
        <v>8171.2824919870518</v>
      </c>
      <c r="M258">
        <v>2.0499999999999998</v>
      </c>
      <c r="N258">
        <v>23.8</v>
      </c>
      <c r="O258" t="s">
        <v>22</v>
      </c>
      <c r="P258">
        <v>414</v>
      </c>
      <c r="Q258">
        <v>179</v>
      </c>
      <c r="R258">
        <v>0.129</v>
      </c>
      <c r="T258" s="4"/>
      <c r="U258" s="3"/>
      <c r="V258" s="3"/>
      <c r="X258" s="5"/>
      <c r="Y258" s="6"/>
      <c r="Z258" s="6"/>
      <c r="AA258" s="3"/>
      <c r="AB258" s="3"/>
      <c r="AE258" s="3"/>
    </row>
    <row r="259" spans="1:31" x14ac:dyDescent="0.35">
      <c r="A259">
        <v>254</v>
      </c>
      <c r="B259">
        <v>11</v>
      </c>
      <c r="C259" t="s">
        <v>283</v>
      </c>
      <c r="D259" t="s">
        <v>21</v>
      </c>
      <c r="E259" t="s">
        <v>21</v>
      </c>
      <c r="F259" s="1">
        <v>0.68600000000000005</v>
      </c>
      <c r="G259">
        <v>152</v>
      </c>
      <c r="H259">
        <v>113</v>
      </c>
      <c r="I259" t="s">
        <v>21</v>
      </c>
      <c r="J259">
        <v>152</v>
      </c>
      <c r="K259" t="s">
        <v>22</v>
      </c>
      <c r="L259">
        <f t="shared" ref="L259:L322" si="4">IF(I259="k",J259^2*PI()/4,IF(I259="q",J259^2,J259*K259))</f>
        <v>18145.839167134644</v>
      </c>
      <c r="M259">
        <v>2.14</v>
      </c>
      <c r="N259">
        <v>21.9</v>
      </c>
      <c r="O259" t="s">
        <v>22</v>
      </c>
      <c r="P259">
        <v>450</v>
      </c>
      <c r="Q259">
        <v>179</v>
      </c>
      <c r="R259">
        <v>0.311</v>
      </c>
      <c r="T259" s="4"/>
      <c r="U259" s="3"/>
      <c r="V259" s="3"/>
      <c r="X259" s="5"/>
      <c r="Y259" s="6"/>
      <c r="Z259" s="6"/>
      <c r="AA259" s="3"/>
      <c r="AB259" s="3"/>
      <c r="AE259" s="3"/>
    </row>
    <row r="260" spans="1:31" x14ac:dyDescent="0.35">
      <c r="A260">
        <v>255</v>
      </c>
      <c r="B260">
        <v>12</v>
      </c>
      <c r="C260" t="s">
        <v>283</v>
      </c>
      <c r="D260" t="s">
        <v>21</v>
      </c>
      <c r="E260" t="s">
        <v>21</v>
      </c>
      <c r="F260" s="1">
        <v>0.68600000000000005</v>
      </c>
      <c r="G260">
        <v>152</v>
      </c>
      <c r="H260">
        <v>113</v>
      </c>
      <c r="I260" t="s">
        <v>21</v>
      </c>
      <c r="J260">
        <v>203</v>
      </c>
      <c r="K260" t="s">
        <v>22</v>
      </c>
      <c r="L260">
        <f t="shared" si="4"/>
        <v>32365.472915445447</v>
      </c>
      <c r="M260">
        <v>2.14</v>
      </c>
      <c r="N260">
        <v>24</v>
      </c>
      <c r="O260" t="s">
        <v>22</v>
      </c>
      <c r="P260">
        <v>450</v>
      </c>
      <c r="Q260">
        <v>179</v>
      </c>
      <c r="R260">
        <v>0.35699999999999998</v>
      </c>
      <c r="T260" s="4"/>
      <c r="U260" s="3"/>
      <c r="V260" s="3"/>
      <c r="X260" s="5"/>
      <c r="Y260" s="6"/>
      <c r="Z260" s="6"/>
      <c r="AA260" s="3"/>
      <c r="AB260" s="3"/>
      <c r="AE260" s="3"/>
    </row>
    <row r="261" spans="1:31" x14ac:dyDescent="0.35">
      <c r="A261">
        <v>256</v>
      </c>
      <c r="B261">
        <v>13</v>
      </c>
      <c r="C261" t="s">
        <v>283</v>
      </c>
      <c r="D261" t="s">
        <v>21</v>
      </c>
      <c r="E261" t="s">
        <v>21</v>
      </c>
      <c r="F261" s="1">
        <v>0.68600000000000005</v>
      </c>
      <c r="G261">
        <v>152</v>
      </c>
      <c r="H261">
        <v>122</v>
      </c>
      <c r="I261" t="s">
        <v>21</v>
      </c>
      <c r="J261">
        <v>203</v>
      </c>
      <c r="K261" t="s">
        <v>22</v>
      </c>
      <c r="L261">
        <f t="shared" si="4"/>
        <v>32365.472915445447</v>
      </c>
      <c r="M261">
        <v>0.66</v>
      </c>
      <c r="N261">
        <v>24</v>
      </c>
      <c r="O261" t="s">
        <v>22</v>
      </c>
      <c r="P261">
        <v>450</v>
      </c>
      <c r="Q261">
        <v>172</v>
      </c>
      <c r="R261">
        <v>0.27100000000000002</v>
      </c>
      <c r="T261" s="4"/>
      <c r="U261" s="3"/>
      <c r="V261" s="3"/>
      <c r="X261" s="5"/>
      <c r="Y261" s="6"/>
      <c r="Z261" s="6"/>
      <c r="AA261" s="3"/>
      <c r="AB261" s="3"/>
      <c r="AE261" s="3"/>
    </row>
    <row r="262" spans="1:31" x14ac:dyDescent="0.35">
      <c r="A262">
        <v>256</v>
      </c>
      <c r="B262">
        <v>14</v>
      </c>
      <c r="C262" t="s">
        <v>283</v>
      </c>
      <c r="D262" t="s">
        <v>21</v>
      </c>
      <c r="E262" t="s">
        <v>21</v>
      </c>
      <c r="F262" s="1">
        <v>0.53300000000000003</v>
      </c>
      <c r="G262">
        <v>102</v>
      </c>
      <c r="H262">
        <v>73</v>
      </c>
      <c r="I262" t="s">
        <v>21</v>
      </c>
      <c r="J262">
        <v>152</v>
      </c>
      <c r="K262" t="s">
        <v>22</v>
      </c>
      <c r="L262">
        <f t="shared" si="4"/>
        <v>18145.839167134644</v>
      </c>
      <c r="M262">
        <v>5.01</v>
      </c>
      <c r="N262">
        <v>24.2</v>
      </c>
      <c r="O262" t="s">
        <v>22</v>
      </c>
      <c r="P262">
        <v>450</v>
      </c>
      <c r="Q262">
        <v>172</v>
      </c>
      <c r="R262">
        <v>0.20200000000000001</v>
      </c>
      <c r="T262" s="4"/>
      <c r="U262" s="3"/>
      <c r="V262" s="3"/>
      <c r="X262" s="5"/>
      <c r="Y262" s="6"/>
      <c r="Z262" s="6"/>
      <c r="AA262" s="3"/>
      <c r="AB262" s="3"/>
      <c r="AE262" s="3"/>
    </row>
    <row r="263" spans="1:31" x14ac:dyDescent="0.35">
      <c r="A263">
        <v>257</v>
      </c>
      <c r="B263">
        <v>15</v>
      </c>
      <c r="C263" t="s">
        <v>283</v>
      </c>
      <c r="D263" t="s">
        <v>21</v>
      </c>
      <c r="E263" t="s">
        <v>21</v>
      </c>
      <c r="F263" s="1">
        <v>0.53300000000000003</v>
      </c>
      <c r="G263">
        <v>102</v>
      </c>
      <c r="H263">
        <v>81</v>
      </c>
      <c r="I263" t="s">
        <v>21</v>
      </c>
      <c r="J263">
        <v>152</v>
      </c>
      <c r="K263" t="s">
        <v>22</v>
      </c>
      <c r="L263">
        <f t="shared" si="4"/>
        <v>18145.839167134644</v>
      </c>
      <c r="M263">
        <v>1.47</v>
      </c>
      <c r="N263">
        <v>24.2</v>
      </c>
      <c r="O263" t="s">
        <v>22</v>
      </c>
      <c r="P263">
        <v>450</v>
      </c>
      <c r="Q263">
        <v>171</v>
      </c>
      <c r="R263">
        <v>0.16</v>
      </c>
      <c r="T263" s="4"/>
      <c r="U263" s="3"/>
      <c r="V263" s="3"/>
      <c r="X263" s="5"/>
      <c r="Y263" s="6"/>
      <c r="Z263" s="6"/>
      <c r="AA263" s="3"/>
      <c r="AB263" s="3"/>
      <c r="AE263" s="3"/>
    </row>
    <row r="264" spans="1:31" x14ac:dyDescent="0.35">
      <c r="A264">
        <v>258</v>
      </c>
      <c r="B264">
        <v>16</v>
      </c>
      <c r="C264" t="s">
        <v>283</v>
      </c>
      <c r="D264" t="s">
        <v>21</v>
      </c>
      <c r="E264" t="s">
        <v>21</v>
      </c>
      <c r="F264" s="1">
        <v>0.53300000000000003</v>
      </c>
      <c r="G264">
        <v>102</v>
      </c>
      <c r="H264">
        <v>86</v>
      </c>
      <c r="I264" t="s">
        <v>21</v>
      </c>
      <c r="J264">
        <v>152</v>
      </c>
      <c r="K264" t="s">
        <v>22</v>
      </c>
      <c r="L264">
        <f t="shared" si="4"/>
        <v>18145.839167134644</v>
      </c>
      <c r="M264">
        <v>0.45</v>
      </c>
      <c r="N264">
        <v>22.5</v>
      </c>
      <c r="O264" t="s">
        <v>22</v>
      </c>
      <c r="P264">
        <v>550</v>
      </c>
      <c r="Q264">
        <v>171</v>
      </c>
      <c r="R264">
        <v>0.107</v>
      </c>
      <c r="T264" s="4"/>
      <c r="U264" s="3"/>
      <c r="V264" s="3"/>
      <c r="X264" s="5"/>
      <c r="Y264" s="6"/>
      <c r="Z264" s="6"/>
      <c r="AA264" s="3"/>
      <c r="AB264" s="3"/>
      <c r="AE264" s="3"/>
    </row>
    <row r="265" spans="1:31" x14ac:dyDescent="0.35">
      <c r="A265">
        <v>258</v>
      </c>
      <c r="B265">
        <v>17</v>
      </c>
      <c r="C265" t="s">
        <v>283</v>
      </c>
      <c r="D265" t="s">
        <v>21</v>
      </c>
      <c r="E265" t="s">
        <v>21</v>
      </c>
      <c r="F265" s="1">
        <v>0.53300000000000003</v>
      </c>
      <c r="G265">
        <v>102</v>
      </c>
      <c r="H265">
        <v>81</v>
      </c>
      <c r="I265" t="s">
        <v>21</v>
      </c>
      <c r="J265">
        <v>102</v>
      </c>
      <c r="K265" t="s">
        <v>22</v>
      </c>
      <c r="L265">
        <f t="shared" si="4"/>
        <v>8171.2824919870518</v>
      </c>
      <c r="M265">
        <v>1.47</v>
      </c>
      <c r="N265">
        <v>24.7</v>
      </c>
      <c r="O265" t="s">
        <v>22</v>
      </c>
      <c r="P265">
        <v>450</v>
      </c>
      <c r="Q265">
        <v>179</v>
      </c>
      <c r="R265">
        <v>0.121</v>
      </c>
      <c r="T265" s="4"/>
      <c r="U265" s="3"/>
      <c r="V265" s="3"/>
      <c r="X265" s="5"/>
      <c r="Y265" s="6"/>
      <c r="Z265" s="6"/>
      <c r="AA265" s="3"/>
      <c r="AB265" s="3"/>
      <c r="AE265" s="3"/>
    </row>
    <row r="266" spans="1:31" x14ac:dyDescent="0.35">
      <c r="A266">
        <v>259</v>
      </c>
      <c r="B266">
        <v>19</v>
      </c>
      <c r="C266" t="s">
        <v>283</v>
      </c>
      <c r="D266" t="s">
        <v>21</v>
      </c>
      <c r="E266" t="s">
        <v>21</v>
      </c>
      <c r="F266" s="1">
        <v>0.68600000000000005</v>
      </c>
      <c r="G266">
        <v>152</v>
      </c>
      <c r="H266">
        <v>123</v>
      </c>
      <c r="I266" t="s">
        <v>21</v>
      </c>
      <c r="J266">
        <v>203</v>
      </c>
      <c r="K266" t="s">
        <v>22</v>
      </c>
      <c r="L266">
        <f t="shared" si="4"/>
        <v>32365.472915445447</v>
      </c>
      <c r="M266">
        <v>0.47</v>
      </c>
      <c r="N266">
        <v>21.4</v>
      </c>
      <c r="O266" t="s">
        <v>22</v>
      </c>
      <c r="P266">
        <v>414</v>
      </c>
      <c r="Q266">
        <v>195</v>
      </c>
      <c r="R266">
        <v>0.27100000000000002</v>
      </c>
      <c r="T266" s="4"/>
      <c r="U266" s="3"/>
      <c r="V266" s="3"/>
      <c r="X266" s="5"/>
      <c r="Y266" s="6"/>
      <c r="Z266" s="6"/>
      <c r="AA266" s="3"/>
      <c r="AB266" s="3"/>
      <c r="AE266" s="3"/>
    </row>
    <row r="267" spans="1:31" x14ac:dyDescent="0.35">
      <c r="A267">
        <v>259</v>
      </c>
      <c r="B267">
        <v>20</v>
      </c>
      <c r="C267" t="s">
        <v>283</v>
      </c>
      <c r="D267" t="s">
        <v>21</v>
      </c>
      <c r="E267" t="s">
        <v>21</v>
      </c>
      <c r="F267" s="1">
        <v>0.68600000000000005</v>
      </c>
      <c r="G267">
        <v>152</v>
      </c>
      <c r="H267">
        <v>113</v>
      </c>
      <c r="I267" t="s">
        <v>21</v>
      </c>
      <c r="J267">
        <v>203</v>
      </c>
      <c r="K267" t="s">
        <v>22</v>
      </c>
      <c r="L267">
        <f t="shared" si="4"/>
        <v>32365.472915445447</v>
      </c>
      <c r="M267">
        <v>2.14</v>
      </c>
      <c r="N267">
        <v>14.6</v>
      </c>
      <c r="O267" t="s">
        <v>22</v>
      </c>
      <c r="P267">
        <v>450</v>
      </c>
      <c r="Q267">
        <v>196</v>
      </c>
      <c r="R267">
        <v>0.27800000000000002</v>
      </c>
      <c r="T267" s="4"/>
      <c r="U267" s="3"/>
      <c r="V267" s="3"/>
      <c r="X267" s="5"/>
      <c r="Y267" s="6"/>
      <c r="Z267" s="6"/>
      <c r="AA267" s="3"/>
      <c r="AB267" s="3"/>
      <c r="AE267" s="3"/>
    </row>
    <row r="268" spans="1:31" x14ac:dyDescent="0.35">
      <c r="A268">
        <v>260</v>
      </c>
      <c r="B268">
        <v>21</v>
      </c>
      <c r="C268" t="s">
        <v>283</v>
      </c>
      <c r="D268" t="s">
        <v>21</v>
      </c>
      <c r="E268" t="s">
        <v>21</v>
      </c>
      <c r="F268" s="1">
        <v>0.68600000000000005</v>
      </c>
      <c r="G268">
        <v>152</v>
      </c>
      <c r="H268">
        <v>122</v>
      </c>
      <c r="I268" t="s">
        <v>21</v>
      </c>
      <c r="J268">
        <v>203</v>
      </c>
      <c r="K268" t="s">
        <v>22</v>
      </c>
      <c r="L268">
        <f t="shared" si="4"/>
        <v>32365.472915445447</v>
      </c>
      <c r="M268">
        <v>0.66</v>
      </c>
      <c r="N268">
        <v>15.6</v>
      </c>
      <c r="O268" t="s">
        <v>22</v>
      </c>
      <c r="P268">
        <v>450</v>
      </c>
      <c r="Q268">
        <v>196</v>
      </c>
      <c r="R268">
        <v>0.23</v>
      </c>
      <c r="T268" s="4"/>
      <c r="U268" s="3"/>
      <c r="V268" s="3"/>
      <c r="X268" s="5"/>
      <c r="Y268" s="6"/>
      <c r="Z268" s="6"/>
      <c r="AA268" s="3"/>
      <c r="AB268" s="3"/>
      <c r="AE268" s="3"/>
    </row>
    <row r="269" spans="1:31" x14ac:dyDescent="0.35">
      <c r="A269">
        <v>261</v>
      </c>
      <c r="B269">
        <v>23</v>
      </c>
      <c r="C269" t="s">
        <v>283</v>
      </c>
      <c r="D269" t="s">
        <v>21</v>
      </c>
      <c r="E269" t="s">
        <v>21</v>
      </c>
      <c r="F269" s="1">
        <v>0.53300000000000003</v>
      </c>
      <c r="G269">
        <v>102</v>
      </c>
      <c r="H269">
        <v>81</v>
      </c>
      <c r="I269" t="s">
        <v>21</v>
      </c>
      <c r="J269">
        <v>152</v>
      </c>
      <c r="K269" t="s">
        <v>22</v>
      </c>
      <c r="L269">
        <f t="shared" si="4"/>
        <v>18145.839167134644</v>
      </c>
      <c r="M269">
        <v>1.47</v>
      </c>
      <c r="N269">
        <v>14</v>
      </c>
      <c r="O269" t="s">
        <v>22</v>
      </c>
      <c r="P269">
        <v>450</v>
      </c>
      <c r="Q269">
        <v>210</v>
      </c>
      <c r="R269">
        <v>0.108</v>
      </c>
      <c r="T269" s="4"/>
      <c r="U269" s="3"/>
      <c r="V269" s="3"/>
      <c r="X269" s="5"/>
      <c r="Y269" s="6"/>
      <c r="Z269" s="6"/>
      <c r="AA269" s="3"/>
      <c r="AB269" s="3"/>
      <c r="AE269" s="3"/>
    </row>
    <row r="270" spans="1:31" x14ac:dyDescent="0.35">
      <c r="A270">
        <v>262</v>
      </c>
      <c r="B270">
        <v>24</v>
      </c>
      <c r="C270" t="s">
        <v>283</v>
      </c>
      <c r="D270" t="s">
        <v>21</v>
      </c>
      <c r="E270" t="s">
        <v>21</v>
      </c>
      <c r="F270" s="1">
        <v>0.53300000000000003</v>
      </c>
      <c r="G270">
        <v>102</v>
      </c>
      <c r="H270">
        <v>86</v>
      </c>
      <c r="I270" t="s">
        <v>21</v>
      </c>
      <c r="J270">
        <v>152</v>
      </c>
      <c r="K270" t="s">
        <v>22</v>
      </c>
      <c r="L270">
        <f t="shared" si="4"/>
        <v>18145.839167134644</v>
      </c>
      <c r="M270">
        <v>0.45</v>
      </c>
      <c r="N270">
        <v>13.7</v>
      </c>
      <c r="O270" t="s">
        <v>22</v>
      </c>
      <c r="P270">
        <v>550</v>
      </c>
      <c r="Q270">
        <v>200</v>
      </c>
      <c r="R270">
        <v>6.9000000000000006E-2</v>
      </c>
      <c r="T270" s="4"/>
      <c r="U270" s="3"/>
      <c r="V270" s="3"/>
      <c r="X270" s="5"/>
      <c r="Y270" s="6"/>
      <c r="Z270" s="6"/>
      <c r="AA270" s="3"/>
      <c r="AB270" s="3"/>
      <c r="AE270" s="3"/>
    </row>
    <row r="271" spans="1:31" x14ac:dyDescent="0.35">
      <c r="A271">
        <v>263</v>
      </c>
      <c r="B271">
        <v>25</v>
      </c>
      <c r="C271" t="s">
        <v>283</v>
      </c>
      <c r="D271" t="s">
        <v>21</v>
      </c>
      <c r="E271" t="s">
        <v>21</v>
      </c>
      <c r="F271" s="1">
        <v>0.68600000000000005</v>
      </c>
      <c r="G271">
        <v>152</v>
      </c>
      <c r="H271">
        <v>122</v>
      </c>
      <c r="I271" t="s">
        <v>21</v>
      </c>
      <c r="J271">
        <v>203</v>
      </c>
      <c r="K271" t="s">
        <v>22</v>
      </c>
      <c r="L271">
        <f t="shared" si="4"/>
        <v>32365.472915445447</v>
      </c>
      <c r="M271">
        <v>0.66</v>
      </c>
      <c r="N271">
        <v>50.5</v>
      </c>
      <c r="O271" t="s">
        <v>22</v>
      </c>
      <c r="P271">
        <v>450</v>
      </c>
      <c r="Q271">
        <v>200</v>
      </c>
      <c r="R271">
        <v>0.307</v>
      </c>
      <c r="T271" s="4"/>
      <c r="U271" s="3"/>
      <c r="V271" s="3"/>
      <c r="X271" s="5"/>
      <c r="Y271" s="6"/>
      <c r="Z271" s="6"/>
      <c r="AA271" s="3"/>
      <c r="AB271" s="3"/>
      <c r="AE271" s="3"/>
    </row>
    <row r="272" spans="1:31" x14ac:dyDescent="0.35">
      <c r="A272">
        <v>263</v>
      </c>
      <c r="B272">
        <v>26</v>
      </c>
      <c r="C272" t="s">
        <v>283</v>
      </c>
      <c r="D272" t="s">
        <v>21</v>
      </c>
      <c r="E272" t="s">
        <v>21</v>
      </c>
      <c r="F272" s="1">
        <v>0.68600000000000005</v>
      </c>
      <c r="G272">
        <v>102</v>
      </c>
      <c r="H272">
        <v>73</v>
      </c>
      <c r="I272" t="s">
        <v>21</v>
      </c>
      <c r="J272">
        <v>203</v>
      </c>
      <c r="K272" t="s">
        <v>22</v>
      </c>
      <c r="L272">
        <f t="shared" si="4"/>
        <v>32365.472915445447</v>
      </c>
      <c r="M272">
        <v>5.01</v>
      </c>
      <c r="N272">
        <v>50.5</v>
      </c>
      <c r="O272" t="s">
        <v>22</v>
      </c>
      <c r="P272">
        <v>450</v>
      </c>
      <c r="Q272">
        <v>200</v>
      </c>
      <c r="R272">
        <v>0.32300000000000001</v>
      </c>
      <c r="T272" s="4"/>
      <c r="U272" s="3"/>
      <c r="V272" s="3"/>
      <c r="X272" s="5"/>
      <c r="Y272" s="6"/>
      <c r="Z272" s="6"/>
      <c r="AA272" s="3"/>
      <c r="AB272" s="3"/>
      <c r="AE272" s="3"/>
    </row>
    <row r="273" spans="1:31" x14ac:dyDescent="0.35">
      <c r="A273">
        <v>264</v>
      </c>
      <c r="B273">
        <v>27</v>
      </c>
      <c r="C273" t="s">
        <v>283</v>
      </c>
      <c r="D273" t="s">
        <v>21</v>
      </c>
      <c r="E273" t="s">
        <v>21</v>
      </c>
      <c r="F273" s="1">
        <v>0.53300000000000003</v>
      </c>
      <c r="G273">
        <v>102</v>
      </c>
      <c r="H273">
        <v>81</v>
      </c>
      <c r="I273" t="s">
        <v>21</v>
      </c>
      <c r="J273">
        <v>152</v>
      </c>
      <c r="K273" t="s">
        <v>22</v>
      </c>
      <c r="L273">
        <f t="shared" si="4"/>
        <v>18145.839167134644</v>
      </c>
      <c r="M273">
        <v>1.47</v>
      </c>
      <c r="N273">
        <v>50.5</v>
      </c>
      <c r="O273" t="s">
        <v>22</v>
      </c>
      <c r="P273">
        <v>450</v>
      </c>
      <c r="Q273">
        <v>200</v>
      </c>
      <c r="R273">
        <v>0.24299999999999999</v>
      </c>
      <c r="T273" s="4"/>
      <c r="U273" s="3"/>
      <c r="V273" s="3"/>
      <c r="X273" s="5"/>
      <c r="Y273" s="6"/>
      <c r="Z273" s="6"/>
      <c r="AA273" s="3"/>
      <c r="AB273" s="3"/>
      <c r="AE273" s="3"/>
    </row>
    <row r="274" spans="1:31" x14ac:dyDescent="0.35">
      <c r="A274">
        <v>265</v>
      </c>
      <c r="B274">
        <v>28</v>
      </c>
      <c r="C274" t="s">
        <v>283</v>
      </c>
      <c r="D274" t="s">
        <v>21</v>
      </c>
      <c r="E274" t="s">
        <v>21</v>
      </c>
      <c r="F274" s="1">
        <v>0.53300000000000003</v>
      </c>
      <c r="G274">
        <v>102</v>
      </c>
      <c r="H274">
        <v>86</v>
      </c>
      <c r="I274" t="s">
        <v>21</v>
      </c>
      <c r="J274">
        <v>152</v>
      </c>
      <c r="K274" t="s">
        <v>22</v>
      </c>
      <c r="L274">
        <f t="shared" si="4"/>
        <v>18145.839167134644</v>
      </c>
      <c r="M274">
        <v>0.45</v>
      </c>
      <c r="N274">
        <v>50.5</v>
      </c>
      <c r="O274" t="s">
        <v>22</v>
      </c>
      <c r="P274">
        <v>550</v>
      </c>
      <c r="Q274">
        <v>200</v>
      </c>
      <c r="R274">
        <v>0.14799999999999999</v>
      </c>
      <c r="T274" s="4"/>
      <c r="U274" s="3"/>
      <c r="V274" s="3"/>
      <c r="X274" s="5"/>
      <c r="Y274" s="6"/>
      <c r="Z274" s="6"/>
      <c r="AA274" s="3"/>
      <c r="AB274" s="3"/>
      <c r="AE274" s="3"/>
    </row>
    <row r="275" spans="1:31" x14ac:dyDescent="0.35">
      <c r="A275">
        <v>266</v>
      </c>
      <c r="B275">
        <v>29</v>
      </c>
      <c r="C275" t="s">
        <v>283</v>
      </c>
      <c r="D275" t="s">
        <v>21</v>
      </c>
      <c r="E275" t="s">
        <v>21</v>
      </c>
      <c r="F275" s="1">
        <v>0.38100000000000001</v>
      </c>
      <c r="G275">
        <v>51</v>
      </c>
      <c r="H275">
        <v>38</v>
      </c>
      <c r="I275" t="s">
        <v>21</v>
      </c>
      <c r="J275">
        <v>203</v>
      </c>
      <c r="K275" t="s">
        <v>22</v>
      </c>
      <c r="L275">
        <f t="shared" si="4"/>
        <v>32365.472915445447</v>
      </c>
      <c r="M275">
        <v>2.04</v>
      </c>
      <c r="N275">
        <v>50.5</v>
      </c>
      <c r="O275" t="s">
        <v>22</v>
      </c>
      <c r="P275">
        <v>550</v>
      </c>
      <c r="Q275">
        <v>200</v>
      </c>
      <c r="R275">
        <v>7.3999999999999996E-2</v>
      </c>
      <c r="T275" s="4"/>
      <c r="U275" s="3"/>
      <c r="V275" s="3"/>
      <c r="X275" s="5"/>
      <c r="Y275" s="6"/>
      <c r="Z275" s="6"/>
      <c r="AA275" s="3"/>
      <c r="AB275" s="3"/>
      <c r="AE275" s="3"/>
    </row>
    <row r="276" spans="1:31" x14ac:dyDescent="0.35">
      <c r="A276">
        <v>267</v>
      </c>
      <c r="B276">
        <v>30</v>
      </c>
      <c r="C276" t="s">
        <v>283</v>
      </c>
      <c r="D276" t="s">
        <v>21</v>
      </c>
      <c r="E276" t="s">
        <v>21</v>
      </c>
      <c r="F276" s="1">
        <v>0.38100000000000001</v>
      </c>
      <c r="G276">
        <v>51</v>
      </c>
      <c r="H276">
        <v>38</v>
      </c>
      <c r="I276" t="s">
        <v>21</v>
      </c>
      <c r="J276">
        <v>152</v>
      </c>
      <c r="K276" t="s">
        <v>22</v>
      </c>
      <c r="L276">
        <f t="shared" si="4"/>
        <v>18145.839167134644</v>
      </c>
      <c r="M276">
        <v>2.04</v>
      </c>
      <c r="N276">
        <v>50.5</v>
      </c>
      <c r="O276" t="s">
        <v>22</v>
      </c>
      <c r="P276">
        <v>550</v>
      </c>
      <c r="Q276">
        <v>200</v>
      </c>
      <c r="R276">
        <v>7.0000000000000007E-2</v>
      </c>
      <c r="T276" s="4"/>
      <c r="U276" s="3"/>
      <c r="V276" s="3"/>
      <c r="X276" s="5"/>
      <c r="Y276" s="6"/>
      <c r="Z276" s="6"/>
      <c r="AA276" s="3"/>
      <c r="AB276" s="3"/>
      <c r="AE276" s="3"/>
    </row>
    <row r="277" spans="1:31" x14ac:dyDescent="0.35">
      <c r="A277">
        <v>268</v>
      </c>
      <c r="B277">
        <v>4</v>
      </c>
      <c r="C277" t="s">
        <v>284</v>
      </c>
      <c r="D277" t="s">
        <v>48</v>
      </c>
      <c r="E277" t="s">
        <v>32</v>
      </c>
      <c r="F277" s="1">
        <v>0.64</v>
      </c>
      <c r="G277">
        <v>51</v>
      </c>
      <c r="H277">
        <v>41</v>
      </c>
      <c r="I277" t="s">
        <v>32</v>
      </c>
      <c r="J277">
        <v>100</v>
      </c>
      <c r="K277" t="s">
        <v>22</v>
      </c>
      <c r="L277">
        <f t="shared" si="4"/>
        <v>10000</v>
      </c>
      <c r="M277">
        <v>0.82</v>
      </c>
      <c r="N277">
        <v>34.299999999999997</v>
      </c>
      <c r="O277" t="s">
        <v>22</v>
      </c>
      <c r="P277">
        <v>530</v>
      </c>
      <c r="Q277">
        <v>210</v>
      </c>
      <c r="R277">
        <v>5.6000000000000001E-2</v>
      </c>
      <c r="T277" s="4"/>
      <c r="U277" s="3"/>
      <c r="V277" s="3"/>
      <c r="X277" s="5"/>
      <c r="Y277" s="6"/>
      <c r="Z277" s="6"/>
      <c r="AA277" s="3"/>
      <c r="AB277" s="3"/>
      <c r="AE277" s="3"/>
    </row>
    <row r="278" spans="1:31" x14ac:dyDescent="0.35">
      <c r="A278">
        <v>269</v>
      </c>
      <c r="B278">
        <v>5</v>
      </c>
      <c r="C278" t="s">
        <v>284</v>
      </c>
      <c r="D278" t="s">
        <v>48</v>
      </c>
      <c r="E278" t="s">
        <v>32</v>
      </c>
      <c r="F278" s="1">
        <v>0.64</v>
      </c>
      <c r="G278">
        <v>51</v>
      </c>
      <c r="H278">
        <v>41</v>
      </c>
      <c r="I278" t="s">
        <v>32</v>
      </c>
      <c r="J278">
        <v>100</v>
      </c>
      <c r="K278" t="s">
        <v>22</v>
      </c>
      <c r="L278">
        <f t="shared" si="4"/>
        <v>10000</v>
      </c>
      <c r="M278">
        <v>0.88</v>
      </c>
      <c r="N278">
        <v>34.299999999999997</v>
      </c>
      <c r="O278" t="s">
        <v>22</v>
      </c>
      <c r="P278">
        <v>530</v>
      </c>
      <c r="Q278">
        <v>210</v>
      </c>
      <c r="R278">
        <v>5.7000000000000002E-2</v>
      </c>
      <c r="T278" s="4"/>
      <c r="U278" s="3"/>
      <c r="V278" s="3"/>
      <c r="X278" s="5"/>
      <c r="Y278" s="6"/>
      <c r="Z278" s="6"/>
      <c r="AA278" s="3"/>
      <c r="AB278" s="3"/>
      <c r="AE278" s="3"/>
    </row>
    <row r="279" spans="1:31" x14ac:dyDescent="0.35">
      <c r="A279">
        <v>270</v>
      </c>
      <c r="B279">
        <v>6</v>
      </c>
      <c r="C279" t="s">
        <v>284</v>
      </c>
      <c r="D279" t="s">
        <v>48</v>
      </c>
      <c r="E279" t="s">
        <v>32</v>
      </c>
      <c r="F279" s="1">
        <v>0.64</v>
      </c>
      <c r="G279">
        <v>51</v>
      </c>
      <c r="H279">
        <v>41</v>
      </c>
      <c r="I279" t="s">
        <v>32</v>
      </c>
      <c r="J279">
        <v>100</v>
      </c>
      <c r="K279" t="s">
        <v>22</v>
      </c>
      <c r="L279">
        <f t="shared" si="4"/>
        <v>10000</v>
      </c>
      <c r="M279">
        <v>1.03</v>
      </c>
      <c r="N279">
        <v>34.299999999999997</v>
      </c>
      <c r="O279" t="s">
        <v>22</v>
      </c>
      <c r="P279">
        <v>530</v>
      </c>
      <c r="Q279">
        <v>210</v>
      </c>
      <c r="R279">
        <v>6.6000000000000003E-2</v>
      </c>
      <c r="T279" s="4"/>
      <c r="U279" s="3"/>
      <c r="V279" s="3"/>
      <c r="X279" s="5"/>
      <c r="Y279" s="6"/>
      <c r="Z279" s="6"/>
      <c r="AA279" s="3"/>
      <c r="AB279" s="3"/>
      <c r="AE279" s="3"/>
    </row>
    <row r="280" spans="1:31" x14ac:dyDescent="0.35">
      <c r="A280">
        <v>271</v>
      </c>
      <c r="B280">
        <v>7</v>
      </c>
      <c r="C280" t="s">
        <v>284</v>
      </c>
      <c r="D280" t="s">
        <v>48</v>
      </c>
      <c r="E280" t="s">
        <v>32</v>
      </c>
      <c r="F280" s="1">
        <v>0.64</v>
      </c>
      <c r="G280">
        <v>51</v>
      </c>
      <c r="H280">
        <v>41</v>
      </c>
      <c r="I280" t="s">
        <v>32</v>
      </c>
      <c r="J280">
        <v>100</v>
      </c>
      <c r="K280" t="s">
        <v>22</v>
      </c>
      <c r="L280">
        <f t="shared" si="4"/>
        <v>10000</v>
      </c>
      <c r="M280">
        <v>1.1599999999999999</v>
      </c>
      <c r="N280">
        <v>29.3</v>
      </c>
      <c r="O280" t="s">
        <v>22</v>
      </c>
      <c r="P280">
        <v>530</v>
      </c>
      <c r="Q280">
        <v>210</v>
      </c>
      <c r="R280">
        <v>7.0999999999999994E-2</v>
      </c>
      <c r="T280" s="4"/>
      <c r="U280" s="3"/>
      <c r="V280" s="3"/>
      <c r="X280" s="5"/>
      <c r="Y280" s="6"/>
      <c r="Z280" s="6"/>
      <c r="AA280" s="3"/>
      <c r="AB280" s="3"/>
      <c r="AE280" s="3"/>
    </row>
    <row r="281" spans="1:31" x14ac:dyDescent="0.35">
      <c r="A281">
        <v>272</v>
      </c>
      <c r="B281">
        <v>8</v>
      </c>
      <c r="C281" t="s">
        <v>284</v>
      </c>
      <c r="D281" t="s">
        <v>48</v>
      </c>
      <c r="E281" t="s">
        <v>32</v>
      </c>
      <c r="F281" s="1">
        <v>0.64</v>
      </c>
      <c r="G281">
        <v>51</v>
      </c>
      <c r="H281">
        <v>41</v>
      </c>
      <c r="I281" t="s">
        <v>32</v>
      </c>
      <c r="J281">
        <v>100</v>
      </c>
      <c r="K281" t="s">
        <v>22</v>
      </c>
      <c r="L281">
        <f t="shared" si="4"/>
        <v>10000</v>
      </c>
      <c r="M281">
        <v>1.29</v>
      </c>
      <c r="N281">
        <v>29.3</v>
      </c>
      <c r="O281" t="s">
        <v>22</v>
      </c>
      <c r="P281">
        <v>530</v>
      </c>
      <c r="Q281">
        <v>210</v>
      </c>
      <c r="R281">
        <v>7.0999999999999994E-2</v>
      </c>
      <c r="T281" s="4"/>
      <c r="U281" s="3"/>
      <c r="V281" s="3"/>
      <c r="X281" s="5"/>
      <c r="Y281" s="6"/>
      <c r="Z281" s="6"/>
      <c r="AA281" s="3"/>
      <c r="AB281" s="3"/>
      <c r="AE281" s="3"/>
    </row>
    <row r="282" spans="1:31" x14ac:dyDescent="0.35">
      <c r="A282">
        <v>273</v>
      </c>
      <c r="B282">
        <v>9</v>
      </c>
      <c r="C282" t="s">
        <v>284</v>
      </c>
      <c r="D282" t="s">
        <v>48</v>
      </c>
      <c r="E282" t="s">
        <v>32</v>
      </c>
      <c r="F282" s="1">
        <v>0.64</v>
      </c>
      <c r="G282">
        <v>51</v>
      </c>
      <c r="H282">
        <v>41</v>
      </c>
      <c r="I282" t="s">
        <v>32</v>
      </c>
      <c r="J282">
        <v>100</v>
      </c>
      <c r="K282" t="s">
        <v>22</v>
      </c>
      <c r="L282">
        <f t="shared" si="4"/>
        <v>10000</v>
      </c>
      <c r="M282">
        <v>1.45</v>
      </c>
      <c r="N282">
        <v>29.3</v>
      </c>
      <c r="O282" t="s">
        <v>22</v>
      </c>
      <c r="P282">
        <v>530</v>
      </c>
      <c r="Q282">
        <v>210</v>
      </c>
      <c r="R282">
        <v>7.9000000000000001E-2</v>
      </c>
      <c r="T282" s="4"/>
      <c r="U282" s="3"/>
      <c r="V282" s="3"/>
      <c r="X282" s="5"/>
      <c r="Y282" s="6"/>
      <c r="Z282" s="6"/>
      <c r="AA282" s="3"/>
      <c r="AB282" s="3"/>
      <c r="AE282" s="3"/>
    </row>
    <row r="283" spans="1:31" x14ac:dyDescent="0.35">
      <c r="A283">
        <v>274</v>
      </c>
      <c r="B283">
        <v>11</v>
      </c>
      <c r="C283" t="s">
        <v>284</v>
      </c>
      <c r="D283" t="s">
        <v>48</v>
      </c>
      <c r="E283" t="s">
        <v>32</v>
      </c>
      <c r="F283" s="1">
        <v>0.64</v>
      </c>
      <c r="G283">
        <v>51</v>
      </c>
      <c r="H283">
        <v>41</v>
      </c>
      <c r="I283" t="s">
        <v>32</v>
      </c>
      <c r="J283">
        <v>100</v>
      </c>
      <c r="K283" t="s">
        <v>22</v>
      </c>
      <c r="L283">
        <f t="shared" si="4"/>
        <v>10000</v>
      </c>
      <c r="M283">
        <v>0.8</v>
      </c>
      <c r="N283">
        <v>29.5</v>
      </c>
      <c r="O283" t="s">
        <v>22</v>
      </c>
      <c r="P283">
        <v>530</v>
      </c>
      <c r="Q283">
        <v>210</v>
      </c>
      <c r="R283">
        <v>5.5E-2</v>
      </c>
      <c r="T283" s="4"/>
      <c r="U283" s="3"/>
      <c r="V283" s="3"/>
      <c r="X283" s="5"/>
      <c r="Y283" s="6"/>
      <c r="Z283" s="6"/>
      <c r="AA283" s="3"/>
      <c r="AB283" s="3"/>
      <c r="AE283" s="3"/>
    </row>
    <row r="284" spans="1:31" x14ac:dyDescent="0.35">
      <c r="A284">
        <v>275</v>
      </c>
      <c r="B284">
        <v>12</v>
      </c>
      <c r="C284" t="s">
        <v>284</v>
      </c>
      <c r="D284" t="s">
        <v>48</v>
      </c>
      <c r="E284" t="s">
        <v>32</v>
      </c>
      <c r="F284" s="1">
        <v>0.64</v>
      </c>
      <c r="G284">
        <v>51</v>
      </c>
      <c r="H284">
        <v>41</v>
      </c>
      <c r="I284" t="s">
        <v>32</v>
      </c>
      <c r="J284">
        <v>100</v>
      </c>
      <c r="K284" t="s">
        <v>22</v>
      </c>
      <c r="L284">
        <f t="shared" si="4"/>
        <v>10000</v>
      </c>
      <c r="M284">
        <v>1.1100000000000001</v>
      </c>
      <c r="N284">
        <v>29.5</v>
      </c>
      <c r="O284" t="s">
        <v>22</v>
      </c>
      <c r="P284">
        <v>530</v>
      </c>
      <c r="Q284">
        <v>210</v>
      </c>
      <c r="R284">
        <v>6.7000000000000004E-2</v>
      </c>
      <c r="T284" s="4"/>
      <c r="U284" s="3"/>
      <c r="V284" s="3"/>
      <c r="X284" s="5"/>
      <c r="Y284" s="6"/>
      <c r="Z284" s="6"/>
      <c r="AA284" s="3"/>
      <c r="AB284" s="3"/>
      <c r="AE284" s="3"/>
    </row>
    <row r="285" spans="1:31" x14ac:dyDescent="0.35">
      <c r="A285">
        <v>276</v>
      </c>
      <c r="B285">
        <v>15</v>
      </c>
      <c r="C285" t="s">
        <v>284</v>
      </c>
      <c r="D285" t="s">
        <v>48</v>
      </c>
      <c r="E285" t="s">
        <v>32</v>
      </c>
      <c r="F285" s="1">
        <v>0.64</v>
      </c>
      <c r="G285">
        <v>51</v>
      </c>
      <c r="H285">
        <v>41</v>
      </c>
      <c r="I285" t="s">
        <v>32</v>
      </c>
      <c r="J285">
        <v>100</v>
      </c>
      <c r="K285" t="s">
        <v>22</v>
      </c>
      <c r="L285">
        <f t="shared" si="4"/>
        <v>10000</v>
      </c>
      <c r="M285">
        <v>1.99</v>
      </c>
      <c r="N285">
        <v>33.6</v>
      </c>
      <c r="O285" t="s">
        <v>22</v>
      </c>
      <c r="P285">
        <v>530</v>
      </c>
      <c r="Q285">
        <v>210</v>
      </c>
      <c r="R285">
        <v>8.5000000000000006E-2</v>
      </c>
      <c r="T285" s="4"/>
      <c r="U285" s="3"/>
      <c r="V285" s="3"/>
      <c r="X285" s="5"/>
      <c r="Y285" s="6"/>
      <c r="Z285" s="6"/>
      <c r="AA285" s="3"/>
      <c r="AB285" s="3"/>
      <c r="AE285" s="3"/>
    </row>
    <row r="286" spans="1:31" x14ac:dyDescent="0.35">
      <c r="A286">
        <v>277</v>
      </c>
      <c r="B286" t="s">
        <v>285</v>
      </c>
      <c r="C286" t="s">
        <v>284</v>
      </c>
      <c r="D286" t="s">
        <v>48</v>
      </c>
      <c r="E286" t="s">
        <v>32</v>
      </c>
      <c r="F286" s="1">
        <v>0.64</v>
      </c>
      <c r="G286">
        <v>57</v>
      </c>
      <c r="H286">
        <v>47</v>
      </c>
      <c r="I286" t="s">
        <v>32</v>
      </c>
      <c r="J286">
        <v>100</v>
      </c>
      <c r="K286" t="s">
        <v>22</v>
      </c>
      <c r="L286">
        <f t="shared" si="4"/>
        <v>10000</v>
      </c>
      <c r="M286">
        <v>0.69</v>
      </c>
      <c r="N286">
        <v>28.4</v>
      </c>
      <c r="O286" t="s">
        <v>22</v>
      </c>
      <c r="P286">
        <v>530</v>
      </c>
      <c r="Q286">
        <v>210</v>
      </c>
      <c r="R286">
        <v>6.6000000000000003E-2</v>
      </c>
      <c r="T286" s="4"/>
      <c r="U286" s="3"/>
      <c r="V286" s="3"/>
      <c r="X286" s="5"/>
      <c r="Y286" s="6"/>
      <c r="Z286" s="6"/>
      <c r="AA286" s="3"/>
      <c r="AB286" s="3"/>
      <c r="AE286" s="3"/>
    </row>
    <row r="287" spans="1:31" x14ac:dyDescent="0.35">
      <c r="A287">
        <v>278</v>
      </c>
      <c r="B287" t="s">
        <v>286</v>
      </c>
      <c r="C287" t="s">
        <v>284</v>
      </c>
      <c r="D287" t="s">
        <v>48</v>
      </c>
      <c r="E287" t="s">
        <v>32</v>
      </c>
      <c r="F287" s="1">
        <v>0.64</v>
      </c>
      <c r="G287">
        <v>57</v>
      </c>
      <c r="H287">
        <v>47</v>
      </c>
      <c r="I287" t="s">
        <v>32</v>
      </c>
      <c r="J287">
        <v>100</v>
      </c>
      <c r="K287" t="s">
        <v>22</v>
      </c>
      <c r="L287">
        <f t="shared" si="4"/>
        <v>10000</v>
      </c>
      <c r="M287">
        <v>1.29</v>
      </c>
      <c r="N287">
        <v>28.4</v>
      </c>
      <c r="O287" t="s">
        <v>22</v>
      </c>
      <c r="P287">
        <v>530</v>
      </c>
      <c r="Q287">
        <v>210</v>
      </c>
      <c r="R287">
        <v>0.09</v>
      </c>
      <c r="T287" s="4"/>
      <c r="U287" s="3"/>
      <c r="V287" s="3"/>
      <c r="X287" s="5"/>
      <c r="Y287" s="6"/>
      <c r="Z287" s="6"/>
      <c r="AA287" s="3"/>
      <c r="AB287" s="3"/>
      <c r="AE287" s="3"/>
    </row>
    <row r="288" spans="1:31" x14ac:dyDescent="0.35">
      <c r="A288">
        <v>279</v>
      </c>
      <c r="B288" t="s">
        <v>287</v>
      </c>
      <c r="C288" t="s">
        <v>284</v>
      </c>
      <c r="D288" t="s">
        <v>48</v>
      </c>
      <c r="E288" t="s">
        <v>32</v>
      </c>
      <c r="F288" s="1">
        <v>0.64</v>
      </c>
      <c r="G288">
        <v>57</v>
      </c>
      <c r="H288">
        <v>47</v>
      </c>
      <c r="I288" t="s">
        <v>32</v>
      </c>
      <c r="J288">
        <v>100</v>
      </c>
      <c r="K288" t="s">
        <v>22</v>
      </c>
      <c r="L288">
        <f t="shared" si="4"/>
        <v>10000</v>
      </c>
      <c r="M288">
        <v>1.99</v>
      </c>
      <c r="N288">
        <v>30.5</v>
      </c>
      <c r="O288" t="s">
        <v>22</v>
      </c>
      <c r="P288">
        <v>530</v>
      </c>
      <c r="Q288">
        <v>210</v>
      </c>
      <c r="R288">
        <v>9.7000000000000003E-2</v>
      </c>
      <c r="T288" s="4"/>
      <c r="U288" s="3"/>
      <c r="V288" s="3"/>
      <c r="X288" s="5"/>
      <c r="Y288" s="6"/>
      <c r="Z288" s="6"/>
      <c r="AA288" s="3"/>
      <c r="AB288" s="3"/>
      <c r="AE288" s="3"/>
    </row>
    <row r="289" spans="1:31" x14ac:dyDescent="0.35">
      <c r="A289">
        <v>280</v>
      </c>
      <c r="B289" t="s">
        <v>288</v>
      </c>
      <c r="C289" t="s">
        <v>284</v>
      </c>
      <c r="D289" t="s">
        <v>48</v>
      </c>
      <c r="E289" t="s">
        <v>32</v>
      </c>
      <c r="F289" s="1">
        <v>0.64</v>
      </c>
      <c r="G289">
        <v>46</v>
      </c>
      <c r="H289">
        <v>35</v>
      </c>
      <c r="I289" t="s">
        <v>32</v>
      </c>
      <c r="J289">
        <v>100</v>
      </c>
      <c r="K289" t="s">
        <v>22</v>
      </c>
      <c r="L289">
        <f t="shared" si="4"/>
        <v>10000</v>
      </c>
      <c r="M289">
        <v>0.69</v>
      </c>
      <c r="N289">
        <v>37.200000000000003</v>
      </c>
      <c r="O289" t="s">
        <v>22</v>
      </c>
      <c r="P289">
        <v>530</v>
      </c>
      <c r="Q289">
        <v>210</v>
      </c>
      <c r="R289">
        <v>3.7999999999999999E-2</v>
      </c>
      <c r="T289" s="4"/>
      <c r="U289" s="3"/>
      <c r="V289" s="3"/>
      <c r="X289" s="5"/>
      <c r="Y289" s="6"/>
      <c r="Z289" s="6"/>
      <c r="AA289" s="3"/>
      <c r="AB289" s="3"/>
      <c r="AE289" s="3"/>
    </row>
    <row r="290" spans="1:31" x14ac:dyDescent="0.35">
      <c r="A290">
        <v>281</v>
      </c>
      <c r="B290" t="s">
        <v>289</v>
      </c>
      <c r="C290" t="s">
        <v>284</v>
      </c>
      <c r="D290" t="s">
        <v>48</v>
      </c>
      <c r="E290" t="s">
        <v>32</v>
      </c>
      <c r="F290" s="1">
        <v>0.64</v>
      </c>
      <c r="G290">
        <v>46</v>
      </c>
      <c r="H290">
        <v>35</v>
      </c>
      <c r="I290" t="s">
        <v>32</v>
      </c>
      <c r="J290">
        <v>100</v>
      </c>
      <c r="K290" t="s">
        <v>22</v>
      </c>
      <c r="L290">
        <f t="shared" si="4"/>
        <v>10000</v>
      </c>
      <c r="M290">
        <v>1.29</v>
      </c>
      <c r="N290">
        <v>37.200000000000003</v>
      </c>
      <c r="O290" t="s">
        <v>22</v>
      </c>
      <c r="P290">
        <v>530</v>
      </c>
      <c r="Q290">
        <v>210</v>
      </c>
      <c r="R290">
        <v>5.7000000000000002E-2</v>
      </c>
      <c r="T290" s="4"/>
      <c r="U290" s="3"/>
      <c r="V290" s="3"/>
      <c r="X290" s="5"/>
      <c r="Y290" s="6"/>
      <c r="Z290" s="6"/>
      <c r="AA290" s="3"/>
      <c r="AB290" s="3"/>
      <c r="AE290" s="3"/>
    </row>
    <row r="291" spans="1:31" x14ac:dyDescent="0.35">
      <c r="A291">
        <v>282</v>
      </c>
      <c r="B291" t="s">
        <v>290</v>
      </c>
      <c r="C291" t="s">
        <v>284</v>
      </c>
      <c r="D291" t="s">
        <v>48</v>
      </c>
      <c r="E291" t="s">
        <v>32</v>
      </c>
      <c r="F291" s="1">
        <v>0.64</v>
      </c>
      <c r="G291">
        <v>46</v>
      </c>
      <c r="H291">
        <v>35</v>
      </c>
      <c r="I291" t="s">
        <v>32</v>
      </c>
      <c r="J291">
        <v>100</v>
      </c>
      <c r="K291" t="s">
        <v>22</v>
      </c>
      <c r="L291">
        <f t="shared" si="4"/>
        <v>10000</v>
      </c>
      <c r="M291">
        <v>1.99</v>
      </c>
      <c r="N291">
        <v>30.5</v>
      </c>
      <c r="O291" t="s">
        <v>22</v>
      </c>
      <c r="P291">
        <v>530</v>
      </c>
      <c r="Q291">
        <v>210</v>
      </c>
      <c r="R291">
        <v>7.2999999999999995E-2</v>
      </c>
      <c r="T291" s="4"/>
      <c r="U291" s="3"/>
      <c r="V291" s="3"/>
      <c r="X291" s="5"/>
      <c r="Y291" s="6"/>
      <c r="Z291" s="6"/>
      <c r="AA291" s="3"/>
      <c r="AB291" s="3"/>
      <c r="AE291" s="3"/>
    </row>
    <row r="292" spans="1:31" x14ac:dyDescent="0.35">
      <c r="A292">
        <v>283</v>
      </c>
      <c r="B292" t="s">
        <v>291</v>
      </c>
      <c r="C292" t="s">
        <v>284</v>
      </c>
      <c r="D292" t="s">
        <v>48</v>
      </c>
      <c r="E292" t="s">
        <v>32</v>
      </c>
      <c r="F292" s="1">
        <v>0.64</v>
      </c>
      <c r="G292">
        <v>64</v>
      </c>
      <c r="H292">
        <v>54</v>
      </c>
      <c r="I292" t="s">
        <v>32</v>
      </c>
      <c r="J292">
        <v>100</v>
      </c>
      <c r="K292" t="s">
        <v>22</v>
      </c>
      <c r="L292">
        <f t="shared" si="4"/>
        <v>10000</v>
      </c>
      <c r="M292">
        <v>0.69</v>
      </c>
      <c r="N292">
        <v>32</v>
      </c>
      <c r="O292" t="s">
        <v>22</v>
      </c>
      <c r="P292">
        <v>530</v>
      </c>
      <c r="Q292">
        <v>210</v>
      </c>
      <c r="R292">
        <v>8.7999999999999995E-2</v>
      </c>
      <c r="T292" s="4"/>
      <c r="U292" s="3"/>
      <c r="V292" s="3"/>
      <c r="X292" s="5"/>
      <c r="Y292" s="6"/>
      <c r="Z292" s="6"/>
      <c r="AA292" s="3"/>
      <c r="AB292" s="3"/>
      <c r="AE292" s="3"/>
    </row>
    <row r="293" spans="1:31" x14ac:dyDescent="0.35">
      <c r="A293">
        <v>284</v>
      </c>
      <c r="B293" t="s">
        <v>292</v>
      </c>
      <c r="C293" t="s">
        <v>284</v>
      </c>
      <c r="D293" t="s">
        <v>48</v>
      </c>
      <c r="E293" t="s">
        <v>32</v>
      </c>
      <c r="F293" s="1">
        <v>0.64</v>
      </c>
      <c r="G293">
        <v>64</v>
      </c>
      <c r="H293">
        <v>54</v>
      </c>
      <c r="I293" t="s">
        <v>32</v>
      </c>
      <c r="J293">
        <v>100</v>
      </c>
      <c r="K293" t="s">
        <v>22</v>
      </c>
      <c r="L293">
        <f t="shared" si="4"/>
        <v>10000</v>
      </c>
      <c r="M293">
        <v>1.29</v>
      </c>
      <c r="N293">
        <v>32</v>
      </c>
      <c r="O293" t="s">
        <v>22</v>
      </c>
      <c r="P293">
        <v>530</v>
      </c>
      <c r="Q293">
        <v>210</v>
      </c>
      <c r="R293">
        <v>0.124</v>
      </c>
      <c r="T293" s="4"/>
      <c r="U293" s="3"/>
      <c r="V293" s="3"/>
      <c r="X293" s="5"/>
      <c r="Y293" s="6"/>
      <c r="Z293" s="6"/>
      <c r="AA293" s="3"/>
      <c r="AB293" s="3"/>
      <c r="AE293" s="3"/>
    </row>
    <row r="294" spans="1:31" x14ac:dyDescent="0.35">
      <c r="A294">
        <v>285</v>
      </c>
      <c r="B294" t="s">
        <v>293</v>
      </c>
      <c r="C294" t="s">
        <v>284</v>
      </c>
      <c r="D294" t="s">
        <v>48</v>
      </c>
      <c r="E294" t="s">
        <v>32</v>
      </c>
      <c r="F294" s="1">
        <v>0.64</v>
      </c>
      <c r="G294">
        <v>64</v>
      </c>
      <c r="H294">
        <v>54</v>
      </c>
      <c r="I294" t="s">
        <v>32</v>
      </c>
      <c r="J294">
        <v>100</v>
      </c>
      <c r="K294" t="s">
        <v>22</v>
      </c>
      <c r="L294">
        <f t="shared" si="4"/>
        <v>10000</v>
      </c>
      <c r="M294">
        <v>1.99</v>
      </c>
      <c r="N294">
        <v>27.5</v>
      </c>
      <c r="O294" t="s">
        <v>22</v>
      </c>
      <c r="P294">
        <v>530</v>
      </c>
      <c r="Q294">
        <v>210</v>
      </c>
      <c r="R294">
        <v>0.126</v>
      </c>
      <c r="T294" s="4"/>
      <c r="U294" s="3"/>
      <c r="V294" s="3"/>
      <c r="X294" s="5"/>
      <c r="Y294" s="6"/>
      <c r="Z294" s="6"/>
      <c r="AA294" s="3"/>
      <c r="AB294" s="3"/>
      <c r="AE294" s="3"/>
    </row>
    <row r="295" spans="1:31" x14ac:dyDescent="0.35">
      <c r="A295">
        <v>286</v>
      </c>
      <c r="B295" t="s">
        <v>294</v>
      </c>
      <c r="C295" t="s">
        <v>187</v>
      </c>
      <c r="D295" t="s">
        <v>48</v>
      </c>
      <c r="E295" t="s">
        <v>32</v>
      </c>
      <c r="F295" s="1">
        <v>2.286</v>
      </c>
      <c r="G295">
        <v>165</v>
      </c>
      <c r="H295">
        <v>127</v>
      </c>
      <c r="I295" t="s">
        <v>32</v>
      </c>
      <c r="J295">
        <v>508</v>
      </c>
      <c r="K295" t="s">
        <v>22</v>
      </c>
      <c r="L295">
        <f t="shared" si="4"/>
        <v>258064</v>
      </c>
      <c r="M295">
        <v>0.75</v>
      </c>
      <c r="N295">
        <v>25.8</v>
      </c>
      <c r="O295" t="s">
        <v>22</v>
      </c>
      <c r="P295">
        <v>331</v>
      </c>
      <c r="Q295" t="s">
        <v>22</v>
      </c>
      <c r="R295">
        <v>0.34300000000000003</v>
      </c>
      <c r="T295" s="4"/>
      <c r="U295" s="3"/>
      <c r="V295" s="3"/>
      <c r="X295" s="5"/>
      <c r="Y295" s="6"/>
      <c r="Z295" s="6"/>
      <c r="AA295" s="3"/>
      <c r="AB295" s="3"/>
      <c r="AE295" s="3"/>
    </row>
    <row r="296" spans="1:31" x14ac:dyDescent="0.35">
      <c r="A296">
        <v>287</v>
      </c>
      <c r="B296" t="s">
        <v>295</v>
      </c>
      <c r="C296" t="s">
        <v>187</v>
      </c>
      <c r="D296" t="s">
        <v>48</v>
      </c>
      <c r="E296" t="s">
        <v>32</v>
      </c>
      <c r="F296" s="1">
        <v>2.286</v>
      </c>
      <c r="G296">
        <v>165</v>
      </c>
      <c r="H296">
        <v>124</v>
      </c>
      <c r="I296" t="s">
        <v>32</v>
      </c>
      <c r="J296">
        <v>508</v>
      </c>
      <c r="K296" t="s">
        <v>22</v>
      </c>
      <c r="L296">
        <f t="shared" si="4"/>
        <v>258064</v>
      </c>
      <c r="M296">
        <v>0.77</v>
      </c>
      <c r="N296">
        <v>31.2</v>
      </c>
      <c r="O296" t="s">
        <v>22</v>
      </c>
      <c r="P296">
        <v>331</v>
      </c>
      <c r="Q296" t="s">
        <v>22</v>
      </c>
      <c r="R296">
        <v>0.33</v>
      </c>
      <c r="T296" s="4"/>
      <c r="U296" s="3"/>
      <c r="V296" s="3"/>
      <c r="X296" s="5"/>
      <c r="Y296" s="6"/>
      <c r="Z296" s="6"/>
      <c r="AA296" s="3"/>
      <c r="AB296" s="3"/>
      <c r="AE296" s="3"/>
    </row>
    <row r="297" spans="1:31" x14ac:dyDescent="0.35">
      <c r="A297">
        <v>288</v>
      </c>
      <c r="B297" t="s">
        <v>296</v>
      </c>
      <c r="C297" t="s">
        <v>187</v>
      </c>
      <c r="D297" t="s">
        <v>48</v>
      </c>
      <c r="E297" t="s">
        <v>32</v>
      </c>
      <c r="F297" s="1">
        <v>2.286</v>
      </c>
      <c r="G297">
        <v>165</v>
      </c>
      <c r="H297">
        <v>125</v>
      </c>
      <c r="I297" t="s">
        <v>32</v>
      </c>
      <c r="J297">
        <v>508</v>
      </c>
      <c r="K297" t="s">
        <v>22</v>
      </c>
      <c r="L297">
        <f t="shared" si="4"/>
        <v>258064</v>
      </c>
      <c r="M297">
        <v>1.52</v>
      </c>
      <c r="N297">
        <v>33.5</v>
      </c>
      <c r="O297" t="s">
        <v>22</v>
      </c>
      <c r="P297">
        <v>325</v>
      </c>
      <c r="Q297" t="s">
        <v>22</v>
      </c>
      <c r="R297">
        <v>0.57899999999999996</v>
      </c>
      <c r="T297" s="4"/>
      <c r="U297" s="3"/>
      <c r="V297" s="3"/>
      <c r="X297" s="5"/>
      <c r="Y297" s="6"/>
      <c r="Z297" s="6"/>
      <c r="AA297" s="3"/>
      <c r="AB297" s="3"/>
      <c r="AE297" s="3"/>
    </row>
    <row r="298" spans="1:31" x14ac:dyDescent="0.35">
      <c r="A298">
        <v>289</v>
      </c>
      <c r="B298" t="s">
        <v>297</v>
      </c>
      <c r="C298" t="s">
        <v>187</v>
      </c>
      <c r="D298" t="s">
        <v>48</v>
      </c>
      <c r="E298" t="s">
        <v>32</v>
      </c>
      <c r="F298" s="1">
        <v>2.286</v>
      </c>
      <c r="G298">
        <v>165</v>
      </c>
      <c r="H298">
        <v>125</v>
      </c>
      <c r="I298" t="s">
        <v>32</v>
      </c>
      <c r="J298">
        <v>508</v>
      </c>
      <c r="K298" t="s">
        <v>22</v>
      </c>
      <c r="L298">
        <f t="shared" si="4"/>
        <v>258064</v>
      </c>
      <c r="M298">
        <v>1.52</v>
      </c>
      <c r="N298">
        <v>37.4</v>
      </c>
      <c r="O298" t="s">
        <v>22</v>
      </c>
      <c r="P298">
        <v>325</v>
      </c>
      <c r="Q298" t="s">
        <v>22</v>
      </c>
      <c r="R298">
        <v>0.58099999999999996</v>
      </c>
      <c r="T298" s="4"/>
      <c r="U298" s="3"/>
      <c r="V298" s="3"/>
      <c r="X298" s="5"/>
      <c r="Y298" s="6"/>
      <c r="Z298" s="6"/>
      <c r="AA298" s="3"/>
      <c r="AB298" s="3"/>
      <c r="AE298" s="3"/>
    </row>
    <row r="299" spans="1:31" x14ac:dyDescent="0.35">
      <c r="A299">
        <v>290</v>
      </c>
      <c r="B299" t="s">
        <v>298</v>
      </c>
      <c r="C299" t="s">
        <v>299</v>
      </c>
      <c r="D299" t="s">
        <v>48</v>
      </c>
      <c r="E299" t="s">
        <v>32</v>
      </c>
      <c r="F299" s="1">
        <v>0.45700000000000002</v>
      </c>
      <c r="G299">
        <v>38</v>
      </c>
      <c r="H299">
        <v>30</v>
      </c>
      <c r="I299" t="s">
        <v>32</v>
      </c>
      <c r="J299">
        <v>76</v>
      </c>
      <c r="K299" t="s">
        <v>22</v>
      </c>
      <c r="L299">
        <f t="shared" si="4"/>
        <v>5776</v>
      </c>
      <c r="M299">
        <v>1.77</v>
      </c>
      <c r="N299">
        <v>26.8</v>
      </c>
      <c r="O299">
        <v>6</v>
      </c>
      <c r="P299">
        <v>396</v>
      </c>
      <c r="Q299" t="s">
        <v>22</v>
      </c>
      <c r="R299">
        <v>3.1E-2</v>
      </c>
      <c r="T299" s="4"/>
      <c r="U299" s="3"/>
      <c r="V299" s="3"/>
      <c r="X299" s="5"/>
      <c r="Y299" s="6"/>
      <c r="Z299" s="6"/>
      <c r="AA299" s="3"/>
      <c r="AB299" s="3"/>
      <c r="AE299" s="3"/>
    </row>
    <row r="300" spans="1:31" x14ac:dyDescent="0.35">
      <c r="A300">
        <v>291</v>
      </c>
      <c r="B300" t="s">
        <v>300</v>
      </c>
      <c r="C300" t="s">
        <v>301</v>
      </c>
      <c r="D300" t="s">
        <v>126</v>
      </c>
      <c r="E300" t="s">
        <v>126</v>
      </c>
      <c r="F300" s="1">
        <v>0.7</v>
      </c>
      <c r="G300">
        <v>120</v>
      </c>
      <c r="H300">
        <v>96</v>
      </c>
      <c r="I300" t="s">
        <v>21</v>
      </c>
      <c r="J300">
        <v>120</v>
      </c>
      <c r="K300" t="s">
        <v>22</v>
      </c>
      <c r="L300">
        <f t="shared" si="4"/>
        <v>11309.733552923255</v>
      </c>
      <c r="M300">
        <v>0.79</v>
      </c>
      <c r="N300">
        <v>24.8</v>
      </c>
      <c r="O300">
        <v>32</v>
      </c>
      <c r="P300">
        <v>709</v>
      </c>
      <c r="Q300">
        <v>200</v>
      </c>
      <c r="R300">
        <v>0.18</v>
      </c>
      <c r="T300" s="4"/>
      <c r="U300" s="3"/>
      <c r="V300" s="3"/>
      <c r="X300" s="5"/>
      <c r="Y300" s="6"/>
      <c r="Z300" s="6"/>
      <c r="AA300" s="3"/>
      <c r="AB300" s="3"/>
      <c r="AE300" s="3"/>
    </row>
    <row r="301" spans="1:31" x14ac:dyDescent="0.35">
      <c r="A301">
        <v>292</v>
      </c>
      <c r="B301" t="s">
        <v>302</v>
      </c>
      <c r="C301" t="s">
        <v>301</v>
      </c>
      <c r="D301" t="s">
        <v>126</v>
      </c>
      <c r="E301" t="s">
        <v>126</v>
      </c>
      <c r="F301" s="1">
        <v>0.7</v>
      </c>
      <c r="G301">
        <v>120</v>
      </c>
      <c r="H301">
        <v>101</v>
      </c>
      <c r="I301" t="s">
        <v>21</v>
      </c>
      <c r="J301">
        <v>120</v>
      </c>
      <c r="K301" t="s">
        <v>22</v>
      </c>
      <c r="L301">
        <f t="shared" si="4"/>
        <v>11309.733552923255</v>
      </c>
      <c r="M301">
        <v>0.53</v>
      </c>
      <c r="N301">
        <v>24.7</v>
      </c>
      <c r="O301">
        <v>32</v>
      </c>
      <c r="P301">
        <v>665</v>
      </c>
      <c r="Q301">
        <v>210</v>
      </c>
      <c r="R301">
        <v>0.18</v>
      </c>
      <c r="T301" s="4"/>
      <c r="U301" s="3"/>
      <c r="V301" s="3"/>
      <c r="X301" s="5"/>
      <c r="Y301" s="6"/>
      <c r="Z301" s="6"/>
      <c r="AA301" s="3"/>
      <c r="AB301" s="3"/>
      <c r="AE301" s="3"/>
    </row>
    <row r="302" spans="1:31" x14ac:dyDescent="0.35">
      <c r="A302">
        <v>293</v>
      </c>
      <c r="B302" t="s">
        <v>303</v>
      </c>
      <c r="C302" t="s">
        <v>301</v>
      </c>
      <c r="D302" t="s">
        <v>126</v>
      </c>
      <c r="E302" t="s">
        <v>126</v>
      </c>
      <c r="F302" s="1">
        <v>1.4</v>
      </c>
      <c r="G302">
        <v>240</v>
      </c>
      <c r="H302">
        <v>201</v>
      </c>
      <c r="I302" t="s">
        <v>21</v>
      </c>
      <c r="J302">
        <v>240</v>
      </c>
      <c r="K302" t="s">
        <v>22</v>
      </c>
      <c r="L302">
        <f t="shared" si="4"/>
        <v>45238.93421169302</v>
      </c>
      <c r="M302">
        <v>0.75</v>
      </c>
      <c r="N302">
        <v>23.2</v>
      </c>
      <c r="O302">
        <v>32</v>
      </c>
      <c r="P302">
        <v>711</v>
      </c>
      <c r="Q302">
        <v>210</v>
      </c>
      <c r="R302">
        <v>0.64800000000000002</v>
      </c>
      <c r="T302" s="4"/>
      <c r="U302" s="3"/>
      <c r="V302" s="3"/>
      <c r="X302" s="5"/>
      <c r="Y302" s="6"/>
      <c r="Z302" s="6"/>
      <c r="AA302" s="3"/>
      <c r="AB302" s="3"/>
      <c r="AE302" s="3"/>
    </row>
    <row r="303" spans="1:31" x14ac:dyDescent="0.35">
      <c r="A303">
        <v>294</v>
      </c>
      <c r="B303" t="s">
        <v>304</v>
      </c>
      <c r="C303" t="s">
        <v>301</v>
      </c>
      <c r="D303" t="s">
        <v>126</v>
      </c>
      <c r="E303" t="s">
        <v>126</v>
      </c>
      <c r="F303" s="1">
        <v>1.4</v>
      </c>
      <c r="G303">
        <v>240</v>
      </c>
      <c r="H303">
        <v>201</v>
      </c>
      <c r="I303" t="s">
        <v>21</v>
      </c>
      <c r="J303">
        <v>240</v>
      </c>
      <c r="K303" t="s">
        <v>22</v>
      </c>
      <c r="L303">
        <f t="shared" si="4"/>
        <v>45238.93421169302</v>
      </c>
      <c r="M303">
        <v>0.53</v>
      </c>
      <c r="N303">
        <v>22.9</v>
      </c>
      <c r="O303">
        <v>32</v>
      </c>
      <c r="P303">
        <v>706</v>
      </c>
      <c r="Q303">
        <v>210</v>
      </c>
      <c r="R303">
        <v>0.54700000000000004</v>
      </c>
      <c r="T303" s="4"/>
      <c r="U303" s="3"/>
      <c r="V303" s="3"/>
      <c r="X303" s="5"/>
      <c r="Y303" s="6"/>
      <c r="Z303" s="6"/>
      <c r="AA303" s="3"/>
      <c r="AB303" s="3"/>
      <c r="AE303" s="3"/>
    </row>
    <row r="304" spans="1:31" x14ac:dyDescent="0.35">
      <c r="A304">
        <v>295</v>
      </c>
      <c r="B304" t="s">
        <v>305</v>
      </c>
      <c r="C304" t="s">
        <v>306</v>
      </c>
      <c r="D304" t="s">
        <v>48</v>
      </c>
      <c r="E304" t="s">
        <v>32</v>
      </c>
      <c r="F304" s="1">
        <v>0.73699999999999999</v>
      </c>
      <c r="G304">
        <v>61</v>
      </c>
      <c r="H304">
        <v>46</v>
      </c>
      <c r="I304" t="s">
        <v>32</v>
      </c>
      <c r="J304">
        <v>102</v>
      </c>
      <c r="K304" t="s">
        <v>22</v>
      </c>
      <c r="L304">
        <f t="shared" si="4"/>
        <v>10404</v>
      </c>
      <c r="M304">
        <v>1.1299999999999999</v>
      </c>
      <c r="N304">
        <v>32.9</v>
      </c>
      <c r="O304">
        <v>10</v>
      </c>
      <c r="P304">
        <v>359</v>
      </c>
      <c r="Q304" t="s">
        <v>22</v>
      </c>
      <c r="R304">
        <v>6.5000000000000002E-2</v>
      </c>
      <c r="T304" s="4"/>
      <c r="U304" s="3"/>
      <c r="V304" s="3"/>
      <c r="X304" s="5"/>
      <c r="Y304" s="6"/>
      <c r="Z304" s="6"/>
      <c r="AA304" s="3"/>
      <c r="AB304" s="3"/>
      <c r="AE304" s="3"/>
    </row>
    <row r="305" spans="1:31" x14ac:dyDescent="0.35">
      <c r="A305">
        <v>296</v>
      </c>
      <c r="B305" t="s">
        <v>307</v>
      </c>
      <c r="C305" t="s">
        <v>306</v>
      </c>
      <c r="D305" t="s">
        <v>48</v>
      </c>
      <c r="E305" t="s">
        <v>32</v>
      </c>
      <c r="F305" s="1">
        <v>0.73699999999999999</v>
      </c>
      <c r="G305">
        <v>61</v>
      </c>
      <c r="H305">
        <v>46</v>
      </c>
      <c r="I305" t="s">
        <v>32</v>
      </c>
      <c r="J305">
        <v>102</v>
      </c>
      <c r="K305" t="s">
        <v>22</v>
      </c>
      <c r="L305">
        <f t="shared" si="4"/>
        <v>10404</v>
      </c>
      <c r="M305">
        <v>1.1299999999999999</v>
      </c>
      <c r="N305">
        <v>27.1</v>
      </c>
      <c r="O305">
        <v>10</v>
      </c>
      <c r="P305">
        <v>359</v>
      </c>
      <c r="Q305" t="s">
        <v>22</v>
      </c>
      <c r="R305">
        <v>6.3E-2</v>
      </c>
      <c r="T305" s="4"/>
      <c r="U305" s="3"/>
      <c r="V305" s="3"/>
      <c r="X305" s="5"/>
      <c r="Y305" s="6"/>
      <c r="Z305" s="6"/>
      <c r="AA305" s="3"/>
      <c r="AB305" s="3"/>
      <c r="AE305" s="3"/>
    </row>
    <row r="306" spans="1:31" x14ac:dyDescent="0.35">
      <c r="A306">
        <v>297</v>
      </c>
      <c r="B306" t="s">
        <v>308</v>
      </c>
      <c r="C306" t="s">
        <v>306</v>
      </c>
      <c r="D306" t="s">
        <v>48</v>
      </c>
      <c r="E306" t="s">
        <v>32</v>
      </c>
      <c r="F306" s="1">
        <v>0.73699999999999999</v>
      </c>
      <c r="G306">
        <v>61</v>
      </c>
      <c r="H306">
        <v>46</v>
      </c>
      <c r="I306" t="s">
        <v>32</v>
      </c>
      <c r="J306">
        <v>102</v>
      </c>
      <c r="K306" t="s">
        <v>22</v>
      </c>
      <c r="L306">
        <f t="shared" si="4"/>
        <v>10404</v>
      </c>
      <c r="M306">
        <v>1.1299999999999999</v>
      </c>
      <c r="N306">
        <v>27.1</v>
      </c>
      <c r="O306">
        <v>10</v>
      </c>
      <c r="P306">
        <v>359</v>
      </c>
      <c r="Q306" t="s">
        <v>22</v>
      </c>
      <c r="R306">
        <v>6.0999999999999999E-2</v>
      </c>
      <c r="T306" s="4"/>
      <c r="U306" s="3"/>
      <c r="V306" s="3"/>
      <c r="X306" s="5"/>
      <c r="Y306" s="6"/>
      <c r="Z306" s="6"/>
      <c r="AA306" s="3"/>
      <c r="AB306" s="3"/>
      <c r="AE306" s="3"/>
    </row>
    <row r="307" spans="1:31" x14ac:dyDescent="0.35">
      <c r="A307">
        <v>298</v>
      </c>
      <c r="B307" t="s">
        <v>309</v>
      </c>
      <c r="C307" t="s">
        <v>306</v>
      </c>
      <c r="D307" t="s">
        <v>48</v>
      </c>
      <c r="E307" t="s">
        <v>32</v>
      </c>
      <c r="F307" s="1">
        <v>0.73699999999999999</v>
      </c>
      <c r="G307">
        <v>61</v>
      </c>
      <c r="H307">
        <v>46</v>
      </c>
      <c r="I307" t="s">
        <v>32</v>
      </c>
      <c r="J307">
        <v>102</v>
      </c>
      <c r="K307" t="s">
        <v>22</v>
      </c>
      <c r="L307">
        <f t="shared" si="4"/>
        <v>10404</v>
      </c>
      <c r="M307">
        <v>1.1299999999999999</v>
      </c>
      <c r="N307">
        <v>27.2</v>
      </c>
      <c r="O307">
        <v>10</v>
      </c>
      <c r="P307">
        <v>359</v>
      </c>
      <c r="Q307" t="s">
        <v>22</v>
      </c>
      <c r="R307">
        <v>6.4000000000000001E-2</v>
      </c>
      <c r="T307" s="4"/>
      <c r="U307" s="3"/>
      <c r="V307" s="3"/>
      <c r="X307" s="5"/>
      <c r="Y307" s="6"/>
      <c r="Z307" s="6"/>
      <c r="AA307" s="3"/>
      <c r="AB307" s="3"/>
      <c r="AE307" s="3"/>
    </row>
    <row r="308" spans="1:31" x14ac:dyDescent="0.35">
      <c r="A308">
        <v>299</v>
      </c>
      <c r="B308" t="s">
        <v>310</v>
      </c>
      <c r="C308" t="s">
        <v>306</v>
      </c>
      <c r="D308" t="s">
        <v>48</v>
      </c>
      <c r="E308" t="s">
        <v>32</v>
      </c>
      <c r="F308" s="1">
        <v>0.73699999999999999</v>
      </c>
      <c r="G308">
        <v>61</v>
      </c>
      <c r="H308">
        <v>46</v>
      </c>
      <c r="I308" t="s">
        <v>32</v>
      </c>
      <c r="J308">
        <v>102</v>
      </c>
      <c r="K308" t="s">
        <v>22</v>
      </c>
      <c r="L308">
        <f t="shared" si="4"/>
        <v>10404</v>
      </c>
      <c r="M308">
        <v>2.5299999999999998</v>
      </c>
      <c r="N308">
        <v>29.4</v>
      </c>
      <c r="O308">
        <v>10</v>
      </c>
      <c r="P308">
        <v>368</v>
      </c>
      <c r="Q308" t="s">
        <v>22</v>
      </c>
      <c r="R308">
        <v>8.7999999999999995E-2</v>
      </c>
      <c r="T308" s="4"/>
      <c r="U308" s="3"/>
      <c r="V308" s="3"/>
      <c r="X308" s="5"/>
      <c r="Y308" s="6"/>
      <c r="Z308" s="6"/>
      <c r="AA308" s="3"/>
      <c r="AB308" s="3"/>
      <c r="AE308" s="3"/>
    </row>
    <row r="309" spans="1:31" x14ac:dyDescent="0.35">
      <c r="A309">
        <v>300</v>
      </c>
      <c r="B309" t="s">
        <v>311</v>
      </c>
      <c r="C309" t="s">
        <v>306</v>
      </c>
      <c r="D309" t="s">
        <v>48</v>
      </c>
      <c r="E309" t="s">
        <v>32</v>
      </c>
      <c r="F309" s="1">
        <v>0.73699999999999999</v>
      </c>
      <c r="G309">
        <v>61</v>
      </c>
      <c r="H309">
        <v>46</v>
      </c>
      <c r="I309" t="s">
        <v>32</v>
      </c>
      <c r="J309">
        <v>102</v>
      </c>
      <c r="K309" t="s">
        <v>22</v>
      </c>
      <c r="L309">
        <f t="shared" si="4"/>
        <v>10404</v>
      </c>
      <c r="M309">
        <v>2.5299999999999998</v>
      </c>
      <c r="N309">
        <v>27.7</v>
      </c>
      <c r="O309">
        <v>10</v>
      </c>
      <c r="P309">
        <v>462</v>
      </c>
      <c r="Q309" t="s">
        <v>22</v>
      </c>
      <c r="R309">
        <v>8.6999999999999994E-2</v>
      </c>
      <c r="T309" s="4"/>
      <c r="U309" s="3"/>
      <c r="V309" s="3"/>
      <c r="X309" s="5"/>
      <c r="Y309" s="6"/>
      <c r="Z309" s="6"/>
      <c r="AA309" s="3"/>
      <c r="AB309" s="3"/>
      <c r="AE309" s="3"/>
    </row>
    <row r="310" spans="1:31" x14ac:dyDescent="0.35">
      <c r="A310">
        <v>301</v>
      </c>
      <c r="B310" t="s">
        <v>312</v>
      </c>
      <c r="C310" t="s">
        <v>306</v>
      </c>
      <c r="D310" t="s">
        <v>48</v>
      </c>
      <c r="E310" t="s">
        <v>32</v>
      </c>
      <c r="F310" s="1">
        <v>0.73699999999999999</v>
      </c>
      <c r="G310">
        <v>61</v>
      </c>
      <c r="H310">
        <v>46</v>
      </c>
      <c r="I310" t="s">
        <v>32</v>
      </c>
      <c r="J310">
        <v>102</v>
      </c>
      <c r="K310" t="s">
        <v>22</v>
      </c>
      <c r="L310">
        <f t="shared" si="4"/>
        <v>10404</v>
      </c>
      <c r="M310">
        <v>1.1299999999999999</v>
      </c>
      <c r="N310">
        <v>28.4</v>
      </c>
      <c r="O310">
        <v>10</v>
      </c>
      <c r="P310">
        <v>374</v>
      </c>
      <c r="Q310" t="s">
        <v>22</v>
      </c>
      <c r="R310">
        <v>6.7000000000000004E-2</v>
      </c>
      <c r="T310" s="4"/>
      <c r="U310" s="3"/>
      <c r="V310" s="3"/>
      <c r="X310" s="5"/>
      <c r="Y310" s="6"/>
      <c r="Z310" s="6"/>
      <c r="AA310" s="3"/>
      <c r="AB310" s="3"/>
      <c r="AE310" s="3"/>
    </row>
    <row r="311" spans="1:31" x14ac:dyDescent="0.35">
      <c r="A311">
        <v>302</v>
      </c>
      <c r="B311" t="s">
        <v>313</v>
      </c>
      <c r="C311" t="s">
        <v>306</v>
      </c>
      <c r="D311" t="s">
        <v>48</v>
      </c>
      <c r="E311" t="s">
        <v>32</v>
      </c>
      <c r="F311" s="1">
        <v>0.73699999999999999</v>
      </c>
      <c r="G311">
        <v>61</v>
      </c>
      <c r="H311">
        <v>46</v>
      </c>
      <c r="I311" t="s">
        <v>32</v>
      </c>
      <c r="J311">
        <v>102</v>
      </c>
      <c r="K311" t="s">
        <v>22</v>
      </c>
      <c r="L311">
        <f t="shared" si="4"/>
        <v>10404</v>
      </c>
      <c r="M311">
        <v>2.5299999999999998</v>
      </c>
      <c r="N311">
        <v>27.2</v>
      </c>
      <c r="O311">
        <v>10</v>
      </c>
      <c r="P311">
        <v>440</v>
      </c>
      <c r="Q311" t="s">
        <v>22</v>
      </c>
      <c r="R311">
        <v>8.1000000000000003E-2</v>
      </c>
      <c r="T311" s="4"/>
      <c r="U311" s="3"/>
      <c r="V311" s="3"/>
      <c r="X311" s="5"/>
      <c r="Y311" s="6"/>
      <c r="Z311" s="6"/>
      <c r="AA311" s="3"/>
      <c r="AB311" s="3"/>
      <c r="AE311" s="3"/>
    </row>
    <row r="312" spans="1:31" x14ac:dyDescent="0.35">
      <c r="A312">
        <v>303</v>
      </c>
      <c r="B312" t="s">
        <v>314</v>
      </c>
      <c r="C312" t="s">
        <v>315</v>
      </c>
      <c r="D312" t="s">
        <v>48</v>
      </c>
      <c r="E312" t="s">
        <v>32</v>
      </c>
      <c r="F312" s="1">
        <v>0.9</v>
      </c>
      <c r="G312">
        <v>76</v>
      </c>
      <c r="H312">
        <v>51</v>
      </c>
      <c r="I312" t="s">
        <v>32</v>
      </c>
      <c r="J312">
        <v>152</v>
      </c>
      <c r="K312" t="s">
        <v>22</v>
      </c>
      <c r="L312">
        <f t="shared" si="4"/>
        <v>23104</v>
      </c>
      <c r="M312">
        <v>2.2000000000000002</v>
      </c>
      <c r="N312">
        <v>14.4</v>
      </c>
      <c r="O312" t="s">
        <v>22</v>
      </c>
      <c r="P312">
        <v>352</v>
      </c>
      <c r="Q312" t="s">
        <v>22</v>
      </c>
      <c r="R312">
        <v>0.123</v>
      </c>
      <c r="T312" s="4"/>
      <c r="U312" s="3"/>
      <c r="V312" s="3"/>
      <c r="X312" s="5"/>
      <c r="Y312" s="6"/>
      <c r="Z312" s="6"/>
      <c r="AA312" s="3"/>
      <c r="AB312" s="3"/>
      <c r="AE312" s="3"/>
    </row>
    <row r="313" spans="1:31" x14ac:dyDescent="0.35">
      <c r="A313">
        <v>304</v>
      </c>
      <c r="B313" t="s">
        <v>316</v>
      </c>
      <c r="C313" t="s">
        <v>115</v>
      </c>
      <c r="D313" t="s">
        <v>48</v>
      </c>
      <c r="E313" t="s">
        <v>32</v>
      </c>
      <c r="F313" s="1">
        <v>3</v>
      </c>
      <c r="G313">
        <v>125</v>
      </c>
      <c r="H313">
        <v>107</v>
      </c>
      <c r="I313" t="s">
        <v>32</v>
      </c>
      <c r="J313">
        <v>250</v>
      </c>
      <c r="K313" t="s">
        <v>22</v>
      </c>
      <c r="L313">
        <f t="shared" si="4"/>
        <v>62500</v>
      </c>
      <c r="M313">
        <v>1.06</v>
      </c>
      <c r="N313">
        <v>33.9</v>
      </c>
      <c r="O313" t="s">
        <v>22</v>
      </c>
      <c r="P313">
        <v>304</v>
      </c>
      <c r="Q313" t="s">
        <v>22</v>
      </c>
      <c r="R313">
        <v>0.25700000000000001</v>
      </c>
      <c r="T313" s="4"/>
      <c r="U313" s="3"/>
      <c r="V313" s="3"/>
      <c r="X313" s="5"/>
      <c r="Y313" s="6"/>
      <c r="Z313" s="6"/>
      <c r="AA313" s="3"/>
      <c r="AB313" s="3"/>
      <c r="AE313" s="3"/>
    </row>
    <row r="314" spans="1:31" x14ac:dyDescent="0.35">
      <c r="A314">
        <v>305</v>
      </c>
      <c r="B314" t="s">
        <v>317</v>
      </c>
      <c r="C314" t="s">
        <v>115</v>
      </c>
      <c r="D314" t="s">
        <v>48</v>
      </c>
      <c r="E314" t="s">
        <v>32</v>
      </c>
      <c r="F314" s="1">
        <v>3</v>
      </c>
      <c r="G314">
        <v>125</v>
      </c>
      <c r="H314">
        <v>107</v>
      </c>
      <c r="I314" t="s">
        <v>32</v>
      </c>
      <c r="J314">
        <v>450</v>
      </c>
      <c r="K314" t="s">
        <v>22</v>
      </c>
      <c r="L314">
        <f t="shared" si="4"/>
        <v>202500</v>
      </c>
      <c r="M314">
        <v>1.06</v>
      </c>
      <c r="N314">
        <v>29.7</v>
      </c>
      <c r="O314" t="s">
        <v>22</v>
      </c>
      <c r="P314">
        <v>304</v>
      </c>
      <c r="Q314" t="s">
        <v>22</v>
      </c>
      <c r="R314">
        <v>0.30099999999999999</v>
      </c>
      <c r="T314" s="4"/>
      <c r="U314" s="3"/>
      <c r="V314" s="3"/>
      <c r="X314" s="5"/>
      <c r="Y314" s="6"/>
      <c r="Z314" s="6"/>
      <c r="AA314" s="3"/>
      <c r="AB314" s="3"/>
      <c r="AE314" s="3"/>
    </row>
    <row r="315" spans="1:31" x14ac:dyDescent="0.35">
      <c r="A315">
        <v>306</v>
      </c>
      <c r="B315" t="s">
        <v>318</v>
      </c>
      <c r="C315" t="s">
        <v>115</v>
      </c>
      <c r="D315" t="s">
        <v>48</v>
      </c>
      <c r="E315" t="s">
        <v>32</v>
      </c>
      <c r="F315" s="1">
        <v>3</v>
      </c>
      <c r="G315">
        <v>125</v>
      </c>
      <c r="H315">
        <v>107</v>
      </c>
      <c r="I315" t="s">
        <v>32</v>
      </c>
      <c r="J315">
        <v>100</v>
      </c>
      <c r="K315" t="s">
        <v>22</v>
      </c>
      <c r="L315">
        <f t="shared" si="4"/>
        <v>10000</v>
      </c>
      <c r="M315">
        <v>0.47</v>
      </c>
      <c r="N315">
        <v>26.4</v>
      </c>
      <c r="O315" t="s">
        <v>22</v>
      </c>
      <c r="P315">
        <v>451</v>
      </c>
      <c r="Q315" t="s">
        <v>22</v>
      </c>
      <c r="R315">
        <v>0.17499999999999999</v>
      </c>
      <c r="T315" s="4"/>
      <c r="U315" s="3"/>
      <c r="V315" s="3"/>
      <c r="X315" s="5"/>
      <c r="Y315" s="6"/>
      <c r="Z315" s="6"/>
      <c r="AA315" s="3"/>
      <c r="AB315" s="3"/>
      <c r="AE315" s="3"/>
    </row>
    <row r="316" spans="1:31" x14ac:dyDescent="0.35">
      <c r="A316">
        <v>307</v>
      </c>
      <c r="B316" t="s">
        <v>319</v>
      </c>
      <c r="C316" t="s">
        <v>320</v>
      </c>
      <c r="D316" t="s">
        <v>48</v>
      </c>
      <c r="E316" t="s">
        <v>32</v>
      </c>
      <c r="F316" s="1">
        <v>0.86399999999999999</v>
      </c>
      <c r="G316">
        <v>76</v>
      </c>
      <c r="H316">
        <v>64</v>
      </c>
      <c r="I316" t="s">
        <v>32</v>
      </c>
      <c r="J316">
        <v>51</v>
      </c>
      <c r="K316" t="s">
        <v>22</v>
      </c>
      <c r="L316">
        <f t="shared" si="4"/>
        <v>2601</v>
      </c>
      <c r="M316">
        <v>0.98</v>
      </c>
      <c r="N316">
        <v>23</v>
      </c>
      <c r="O316">
        <v>10</v>
      </c>
      <c r="P316">
        <v>376</v>
      </c>
      <c r="Q316" t="s">
        <v>22</v>
      </c>
      <c r="R316">
        <v>7.0999999999999994E-2</v>
      </c>
      <c r="T316" s="4"/>
      <c r="U316" s="3"/>
      <c r="V316" s="3"/>
      <c r="X316" s="5"/>
      <c r="Y316" s="6"/>
      <c r="Z316" s="6"/>
      <c r="AA316" s="3"/>
      <c r="AB316" s="3"/>
      <c r="AE316" s="3"/>
    </row>
    <row r="317" spans="1:31" x14ac:dyDescent="0.35">
      <c r="A317">
        <v>308</v>
      </c>
      <c r="B317" t="s">
        <v>321</v>
      </c>
      <c r="C317" t="s">
        <v>320</v>
      </c>
      <c r="D317" t="s">
        <v>48</v>
      </c>
      <c r="E317" t="s">
        <v>32</v>
      </c>
      <c r="F317" s="1">
        <v>0.86399999999999999</v>
      </c>
      <c r="G317">
        <v>76</v>
      </c>
      <c r="H317">
        <v>64</v>
      </c>
      <c r="I317" t="s">
        <v>32</v>
      </c>
      <c r="J317">
        <v>76</v>
      </c>
      <c r="K317" t="s">
        <v>22</v>
      </c>
      <c r="L317">
        <f t="shared" si="4"/>
        <v>5776</v>
      </c>
      <c r="M317">
        <v>0.98</v>
      </c>
      <c r="N317">
        <v>21.8</v>
      </c>
      <c r="O317">
        <v>10</v>
      </c>
      <c r="P317">
        <v>376</v>
      </c>
      <c r="Q317" t="s">
        <v>22</v>
      </c>
      <c r="R317">
        <v>9.0999999999999998E-2</v>
      </c>
      <c r="T317" s="4"/>
      <c r="U317" s="3"/>
      <c r="V317" s="3"/>
      <c r="X317" s="5"/>
      <c r="Y317" s="6"/>
      <c r="Z317" s="6"/>
      <c r="AA317" s="3"/>
      <c r="AB317" s="3"/>
      <c r="AE317" s="3"/>
    </row>
    <row r="318" spans="1:31" x14ac:dyDescent="0.35">
      <c r="A318">
        <v>309</v>
      </c>
      <c r="B318" t="s">
        <v>322</v>
      </c>
      <c r="C318" t="s">
        <v>320</v>
      </c>
      <c r="D318" t="s">
        <v>48</v>
      </c>
      <c r="E318" t="s">
        <v>32</v>
      </c>
      <c r="F318" s="1">
        <v>0.86399999999999999</v>
      </c>
      <c r="G318">
        <v>76</v>
      </c>
      <c r="H318">
        <v>64</v>
      </c>
      <c r="I318" t="s">
        <v>32</v>
      </c>
      <c r="J318">
        <v>102</v>
      </c>
      <c r="K318" t="s">
        <v>22</v>
      </c>
      <c r="L318">
        <f t="shared" si="4"/>
        <v>10404</v>
      </c>
      <c r="M318">
        <v>0.98</v>
      </c>
      <c r="N318">
        <v>20.6</v>
      </c>
      <c r="O318">
        <v>10</v>
      </c>
      <c r="P318">
        <v>376</v>
      </c>
      <c r="Q318" t="s">
        <v>22</v>
      </c>
      <c r="R318">
        <v>8.5999999999999993E-2</v>
      </c>
      <c r="T318" s="4"/>
      <c r="U318" s="3"/>
      <c r="V318" s="3"/>
      <c r="X318" s="5"/>
      <c r="Y318" s="6"/>
      <c r="Z318" s="6"/>
      <c r="AA318" s="3"/>
      <c r="AB318" s="3"/>
      <c r="AE318" s="3"/>
    </row>
    <row r="319" spans="1:31" x14ac:dyDescent="0.35">
      <c r="A319">
        <v>310</v>
      </c>
      <c r="B319" t="s">
        <v>323</v>
      </c>
      <c r="C319" t="s">
        <v>320</v>
      </c>
      <c r="D319" t="s">
        <v>48</v>
      </c>
      <c r="E319" t="s">
        <v>32</v>
      </c>
      <c r="F319" s="1">
        <v>0.86399999999999999</v>
      </c>
      <c r="G319">
        <v>76</v>
      </c>
      <c r="H319">
        <v>64</v>
      </c>
      <c r="I319" t="s">
        <v>32</v>
      </c>
      <c r="J319">
        <v>127</v>
      </c>
      <c r="K319" t="s">
        <v>22</v>
      </c>
      <c r="L319">
        <f t="shared" si="4"/>
        <v>16129</v>
      </c>
      <c r="M319">
        <v>0.98</v>
      </c>
      <c r="N319">
        <v>19.600000000000001</v>
      </c>
      <c r="O319">
        <v>10</v>
      </c>
      <c r="P319">
        <v>376</v>
      </c>
      <c r="Q319" t="s">
        <v>22</v>
      </c>
      <c r="R319">
        <v>9.7000000000000003E-2</v>
      </c>
      <c r="T319" s="4"/>
      <c r="U319" s="3"/>
      <c r="V319" s="3"/>
      <c r="X319" s="5"/>
      <c r="Y319" s="6"/>
      <c r="Z319" s="6"/>
      <c r="AA319" s="3"/>
      <c r="AB319" s="3"/>
      <c r="AE319" s="3"/>
    </row>
    <row r="320" spans="1:31" x14ac:dyDescent="0.35">
      <c r="A320">
        <v>311</v>
      </c>
      <c r="B320" t="s">
        <v>324</v>
      </c>
      <c r="C320" t="s">
        <v>320</v>
      </c>
      <c r="D320" t="s">
        <v>48</v>
      </c>
      <c r="E320" t="s">
        <v>32</v>
      </c>
      <c r="F320" s="1">
        <v>0.86399999999999999</v>
      </c>
      <c r="G320">
        <v>76</v>
      </c>
      <c r="H320">
        <v>64</v>
      </c>
      <c r="I320" t="s">
        <v>32</v>
      </c>
      <c r="J320">
        <v>152</v>
      </c>
      <c r="K320" t="s">
        <v>22</v>
      </c>
      <c r="L320">
        <f t="shared" si="4"/>
        <v>23104</v>
      </c>
      <c r="M320">
        <v>0.98</v>
      </c>
      <c r="N320">
        <v>16.3</v>
      </c>
      <c r="O320">
        <v>10</v>
      </c>
      <c r="P320">
        <v>376</v>
      </c>
      <c r="Q320" t="s">
        <v>22</v>
      </c>
      <c r="R320">
        <v>9.7000000000000003E-2</v>
      </c>
      <c r="T320" s="4"/>
      <c r="U320" s="3"/>
      <c r="V320" s="3"/>
      <c r="X320" s="5"/>
      <c r="Y320" s="6"/>
      <c r="Z320" s="6"/>
      <c r="AA320" s="3"/>
      <c r="AB320" s="3"/>
      <c r="AE320" s="3"/>
    </row>
    <row r="321" spans="1:31" x14ac:dyDescent="0.35">
      <c r="A321">
        <v>312</v>
      </c>
      <c r="B321" t="s">
        <v>325</v>
      </c>
      <c r="C321" t="s">
        <v>320</v>
      </c>
      <c r="D321" t="s">
        <v>48</v>
      </c>
      <c r="E321" t="s">
        <v>32</v>
      </c>
      <c r="F321" s="1">
        <v>0.86399999999999999</v>
      </c>
      <c r="G321">
        <v>76</v>
      </c>
      <c r="H321">
        <v>64</v>
      </c>
      <c r="I321" t="s">
        <v>32</v>
      </c>
      <c r="J321">
        <v>51</v>
      </c>
      <c r="K321" t="s">
        <v>22</v>
      </c>
      <c r="L321">
        <f t="shared" si="4"/>
        <v>2601</v>
      </c>
      <c r="M321">
        <v>1.96</v>
      </c>
      <c r="N321">
        <v>20.3</v>
      </c>
      <c r="O321">
        <v>10</v>
      </c>
      <c r="P321">
        <v>376</v>
      </c>
      <c r="Q321" t="s">
        <v>22</v>
      </c>
      <c r="R321">
        <v>7.8E-2</v>
      </c>
      <c r="T321" s="4"/>
      <c r="U321" s="3"/>
      <c r="V321" s="3"/>
      <c r="X321" s="5"/>
      <c r="Y321" s="6"/>
      <c r="Z321" s="6"/>
      <c r="AA321" s="3"/>
      <c r="AB321" s="3"/>
      <c r="AE321" s="3"/>
    </row>
    <row r="322" spans="1:31" x14ac:dyDescent="0.35">
      <c r="A322">
        <v>313</v>
      </c>
      <c r="B322" t="s">
        <v>326</v>
      </c>
      <c r="C322" t="s">
        <v>320</v>
      </c>
      <c r="D322" t="s">
        <v>48</v>
      </c>
      <c r="E322" t="s">
        <v>32</v>
      </c>
      <c r="F322" s="1">
        <v>0.86399999999999999</v>
      </c>
      <c r="G322">
        <v>76</v>
      </c>
      <c r="H322">
        <v>64</v>
      </c>
      <c r="I322" t="s">
        <v>32</v>
      </c>
      <c r="J322">
        <v>102</v>
      </c>
      <c r="K322" t="s">
        <v>22</v>
      </c>
      <c r="L322">
        <f t="shared" si="4"/>
        <v>10404</v>
      </c>
      <c r="M322">
        <v>1.96</v>
      </c>
      <c r="N322">
        <v>20.100000000000001</v>
      </c>
      <c r="O322">
        <v>10</v>
      </c>
      <c r="P322">
        <v>376</v>
      </c>
      <c r="Q322" t="s">
        <v>22</v>
      </c>
      <c r="R322">
        <v>0.115</v>
      </c>
      <c r="T322" s="4"/>
      <c r="U322" s="3"/>
      <c r="V322" s="3"/>
      <c r="X322" s="5"/>
      <c r="Y322" s="6"/>
      <c r="Z322" s="6"/>
      <c r="AA322" s="3"/>
      <c r="AB322" s="3"/>
      <c r="AE322" s="3"/>
    </row>
    <row r="323" spans="1:31" x14ac:dyDescent="0.35">
      <c r="A323">
        <v>314</v>
      </c>
      <c r="B323" t="s">
        <v>327</v>
      </c>
      <c r="C323" t="s">
        <v>320</v>
      </c>
      <c r="D323" t="s">
        <v>48</v>
      </c>
      <c r="E323" t="s">
        <v>32</v>
      </c>
      <c r="F323" s="1">
        <v>0.86399999999999999</v>
      </c>
      <c r="G323">
        <v>76</v>
      </c>
      <c r="H323">
        <v>64</v>
      </c>
      <c r="I323" t="s">
        <v>32</v>
      </c>
      <c r="J323">
        <v>152</v>
      </c>
      <c r="K323" t="s">
        <v>22</v>
      </c>
      <c r="L323">
        <f t="shared" ref="L323:L337" si="5">IF(I323="k",J323^2*PI()/4,IF(I323="q",J323^2,J323*K323))</f>
        <v>23104</v>
      </c>
      <c r="M323">
        <v>1.96</v>
      </c>
      <c r="N323">
        <v>19.2</v>
      </c>
      <c r="O323">
        <v>10</v>
      </c>
      <c r="P323">
        <v>376</v>
      </c>
      <c r="Q323" t="s">
        <v>22</v>
      </c>
      <c r="R323">
        <v>0.15</v>
      </c>
      <c r="T323" s="4"/>
      <c r="U323" s="3"/>
      <c r="V323" s="3"/>
      <c r="X323" s="5"/>
      <c r="Y323" s="6"/>
      <c r="Z323" s="6"/>
      <c r="AA323" s="3"/>
      <c r="AB323" s="3"/>
      <c r="AE323" s="3"/>
    </row>
    <row r="324" spans="1:31" x14ac:dyDescent="0.35">
      <c r="A324">
        <v>315</v>
      </c>
      <c r="B324" t="s">
        <v>78</v>
      </c>
      <c r="C324" t="s">
        <v>328</v>
      </c>
      <c r="D324" t="s">
        <v>21</v>
      </c>
      <c r="E324" t="s">
        <v>21</v>
      </c>
      <c r="F324" s="1">
        <v>1</v>
      </c>
      <c r="G324">
        <v>102</v>
      </c>
      <c r="H324">
        <v>80</v>
      </c>
      <c r="I324" t="s">
        <v>21</v>
      </c>
      <c r="J324">
        <v>229</v>
      </c>
      <c r="K324" t="s">
        <v>22</v>
      </c>
      <c r="L324">
        <f t="shared" si="5"/>
        <v>41187.065086725583</v>
      </c>
      <c r="M324">
        <v>1.34</v>
      </c>
      <c r="N324">
        <v>14.4</v>
      </c>
      <c r="O324" t="s">
        <v>22</v>
      </c>
      <c r="P324">
        <v>456</v>
      </c>
      <c r="Q324" t="s">
        <v>22</v>
      </c>
      <c r="R324">
        <v>0.18099999999999999</v>
      </c>
      <c r="T324" s="4"/>
      <c r="U324" s="3"/>
      <c r="V324" s="3"/>
      <c r="X324" s="5"/>
      <c r="Y324" s="6"/>
      <c r="Z324" s="6"/>
      <c r="AA324" s="3"/>
      <c r="AB324" s="3"/>
      <c r="AE324" s="3"/>
    </row>
    <row r="325" spans="1:31" x14ac:dyDescent="0.35">
      <c r="A325">
        <v>316</v>
      </c>
      <c r="B325" t="s">
        <v>79</v>
      </c>
      <c r="C325" t="s">
        <v>328</v>
      </c>
      <c r="D325" t="s">
        <v>21</v>
      </c>
      <c r="E325" t="s">
        <v>21</v>
      </c>
      <c r="F325" s="1">
        <v>1.5</v>
      </c>
      <c r="G325">
        <v>102</v>
      </c>
      <c r="H325">
        <v>80</v>
      </c>
      <c r="I325" t="s">
        <v>21</v>
      </c>
      <c r="J325">
        <v>229</v>
      </c>
      <c r="K325" t="s">
        <v>22</v>
      </c>
      <c r="L325">
        <f t="shared" si="5"/>
        <v>41187.065086725583</v>
      </c>
      <c r="M325">
        <v>1.32</v>
      </c>
      <c r="N325">
        <v>13.4</v>
      </c>
      <c r="O325" t="s">
        <v>22</v>
      </c>
      <c r="P325">
        <v>372</v>
      </c>
      <c r="Q325" t="s">
        <v>22</v>
      </c>
      <c r="R325">
        <v>0.152</v>
      </c>
      <c r="T325" s="4"/>
      <c r="U325" s="3"/>
      <c r="V325" s="3"/>
      <c r="X325" s="5"/>
      <c r="Y325" s="6"/>
      <c r="Z325" s="6"/>
      <c r="AA325" s="3"/>
      <c r="AB325" s="3"/>
      <c r="AE325" s="3"/>
    </row>
    <row r="326" spans="1:31" x14ac:dyDescent="0.35">
      <c r="A326">
        <v>317</v>
      </c>
      <c r="B326" t="s">
        <v>80</v>
      </c>
      <c r="C326" t="s">
        <v>328</v>
      </c>
      <c r="D326" t="s">
        <v>21</v>
      </c>
      <c r="E326" t="s">
        <v>21</v>
      </c>
      <c r="F326" s="1">
        <v>1.5</v>
      </c>
      <c r="G326">
        <v>102</v>
      </c>
      <c r="H326">
        <v>80</v>
      </c>
      <c r="I326" t="s">
        <v>126</v>
      </c>
      <c r="J326">
        <v>229</v>
      </c>
      <c r="K326">
        <v>432</v>
      </c>
      <c r="L326">
        <f t="shared" si="5"/>
        <v>98928</v>
      </c>
      <c r="M326">
        <v>1.32</v>
      </c>
      <c r="N326">
        <v>14.9</v>
      </c>
      <c r="O326" t="s">
        <v>22</v>
      </c>
      <c r="P326">
        <v>490</v>
      </c>
      <c r="Q326" t="s">
        <v>22</v>
      </c>
      <c r="R326">
        <v>0.245</v>
      </c>
      <c r="T326" s="4"/>
      <c r="U326" s="3"/>
      <c r="V326" s="3"/>
      <c r="X326" s="5"/>
      <c r="Y326" s="6"/>
      <c r="Z326" s="6"/>
      <c r="AA326" s="3"/>
      <c r="AB326" s="3"/>
      <c r="AE326" s="3"/>
    </row>
    <row r="327" spans="1:31" x14ac:dyDescent="0.35">
      <c r="A327">
        <v>318</v>
      </c>
      <c r="B327" t="s">
        <v>81</v>
      </c>
      <c r="C327" t="s">
        <v>328</v>
      </c>
      <c r="D327" t="s">
        <v>21</v>
      </c>
      <c r="E327" t="s">
        <v>21</v>
      </c>
      <c r="F327" s="1">
        <v>1</v>
      </c>
      <c r="G327">
        <v>102</v>
      </c>
      <c r="H327">
        <v>80</v>
      </c>
      <c r="I327" t="s">
        <v>21</v>
      </c>
      <c r="J327">
        <v>229</v>
      </c>
      <c r="K327" t="s">
        <v>22</v>
      </c>
      <c r="L327">
        <f t="shared" si="5"/>
        <v>41187.065086725583</v>
      </c>
      <c r="M327">
        <v>0.98</v>
      </c>
      <c r="N327">
        <v>23.5</v>
      </c>
      <c r="O327" t="s">
        <v>22</v>
      </c>
      <c r="P327">
        <v>490</v>
      </c>
      <c r="Q327" t="s">
        <v>22</v>
      </c>
      <c r="R327">
        <v>0.245</v>
      </c>
      <c r="T327" s="4"/>
      <c r="U327" s="3"/>
      <c r="V327" s="3"/>
      <c r="X327" s="5"/>
      <c r="Y327" s="6"/>
      <c r="Z327" s="6"/>
      <c r="AA327" s="3"/>
      <c r="AB327" s="3"/>
      <c r="AE327" s="3"/>
    </row>
    <row r="328" spans="1:31" x14ac:dyDescent="0.35">
      <c r="A328">
        <v>319</v>
      </c>
      <c r="B328">
        <v>1</v>
      </c>
      <c r="C328" t="s">
        <v>329</v>
      </c>
      <c r="D328" t="s">
        <v>48</v>
      </c>
      <c r="E328" t="s">
        <v>32</v>
      </c>
      <c r="F328" s="1">
        <v>1.1499999999999999</v>
      </c>
      <c r="G328">
        <v>117</v>
      </c>
      <c r="H328">
        <v>101</v>
      </c>
      <c r="I328" t="s">
        <v>21</v>
      </c>
      <c r="J328">
        <v>140</v>
      </c>
      <c r="K328" t="s">
        <v>22</v>
      </c>
      <c r="L328">
        <f t="shared" si="5"/>
        <v>15393.804002589986</v>
      </c>
      <c r="M328">
        <v>0.7</v>
      </c>
      <c r="N328">
        <v>12.2</v>
      </c>
      <c r="O328" t="s">
        <v>22</v>
      </c>
      <c r="P328">
        <v>350</v>
      </c>
      <c r="Q328" t="s">
        <v>22</v>
      </c>
      <c r="R328">
        <v>0.184</v>
      </c>
      <c r="T328" s="4"/>
      <c r="U328" s="3"/>
      <c r="V328" s="3"/>
      <c r="X328" s="5"/>
      <c r="Y328" s="6"/>
      <c r="Z328" s="6"/>
      <c r="AA328" s="3"/>
      <c r="AB328" s="3"/>
      <c r="AE328" s="3"/>
    </row>
    <row r="329" spans="1:31" x14ac:dyDescent="0.35">
      <c r="A329">
        <v>320</v>
      </c>
      <c r="B329">
        <v>2</v>
      </c>
      <c r="C329" t="s">
        <v>329</v>
      </c>
      <c r="D329" t="s">
        <v>48</v>
      </c>
      <c r="E329" t="s">
        <v>32</v>
      </c>
      <c r="F329" s="1">
        <v>1.1499999999999999</v>
      </c>
      <c r="G329">
        <v>127</v>
      </c>
      <c r="H329">
        <v>111</v>
      </c>
      <c r="I329" t="s">
        <v>21</v>
      </c>
      <c r="J329">
        <v>140</v>
      </c>
      <c r="K329" t="s">
        <v>22</v>
      </c>
      <c r="L329">
        <f t="shared" si="5"/>
        <v>15393.804002589986</v>
      </c>
      <c r="M329">
        <v>0.64</v>
      </c>
      <c r="N329">
        <v>12.2</v>
      </c>
      <c r="O329" t="s">
        <v>22</v>
      </c>
      <c r="P329">
        <v>350</v>
      </c>
      <c r="Q329" t="s">
        <v>22</v>
      </c>
      <c r="R329">
        <v>0.17699999999999999</v>
      </c>
      <c r="T329" s="4"/>
      <c r="U329" s="3"/>
      <c r="V329" s="3"/>
      <c r="X329" s="5"/>
      <c r="Y329" s="6"/>
      <c r="Z329" s="6"/>
      <c r="AA329" s="3"/>
      <c r="AB329" s="3"/>
      <c r="AE329" s="3"/>
    </row>
    <row r="330" spans="1:31" x14ac:dyDescent="0.35">
      <c r="A330">
        <v>321</v>
      </c>
      <c r="B330">
        <v>3</v>
      </c>
      <c r="C330" t="s">
        <v>329</v>
      </c>
      <c r="D330" t="s">
        <v>48</v>
      </c>
      <c r="E330" t="s">
        <v>32</v>
      </c>
      <c r="F330" s="1">
        <v>1.1499999999999999</v>
      </c>
      <c r="G330">
        <v>122</v>
      </c>
      <c r="H330">
        <v>106</v>
      </c>
      <c r="I330" t="s">
        <v>21</v>
      </c>
      <c r="J330">
        <v>140</v>
      </c>
      <c r="K330" t="s">
        <v>22</v>
      </c>
      <c r="L330">
        <f t="shared" si="5"/>
        <v>15393.804002589986</v>
      </c>
      <c r="M330">
        <v>0.67</v>
      </c>
      <c r="N330">
        <v>12.2</v>
      </c>
      <c r="O330" t="s">
        <v>22</v>
      </c>
      <c r="P330">
        <v>350</v>
      </c>
      <c r="Q330" t="s">
        <v>22</v>
      </c>
      <c r="R330">
        <v>0.17199999999999999</v>
      </c>
      <c r="T330" s="4"/>
      <c r="U330" s="3"/>
      <c r="V330" s="3"/>
      <c r="X330" s="5"/>
      <c r="Y330" s="6"/>
      <c r="Z330" s="6"/>
      <c r="AA330" s="3"/>
      <c r="AB330" s="3"/>
      <c r="AE330" s="3"/>
    </row>
    <row r="331" spans="1:31" x14ac:dyDescent="0.35">
      <c r="A331">
        <v>322</v>
      </c>
      <c r="B331">
        <v>4</v>
      </c>
      <c r="C331" t="s">
        <v>329</v>
      </c>
      <c r="D331" t="s">
        <v>48</v>
      </c>
      <c r="E331" t="s">
        <v>32</v>
      </c>
      <c r="F331" s="1">
        <v>1.1499999999999999</v>
      </c>
      <c r="G331">
        <v>126</v>
      </c>
      <c r="H331">
        <v>110</v>
      </c>
      <c r="I331" t="s">
        <v>21</v>
      </c>
      <c r="J331">
        <v>140</v>
      </c>
      <c r="K331" t="s">
        <v>22</v>
      </c>
      <c r="L331">
        <f t="shared" si="5"/>
        <v>15393.804002589986</v>
      </c>
      <c r="M331">
        <v>0.64</v>
      </c>
      <c r="N331">
        <v>12.2</v>
      </c>
      <c r="O331" t="s">
        <v>22</v>
      </c>
      <c r="P331">
        <v>350</v>
      </c>
      <c r="Q331" t="s">
        <v>22</v>
      </c>
      <c r="R331">
        <v>0.17699999999999999</v>
      </c>
      <c r="T331" s="4"/>
      <c r="U331" s="3"/>
      <c r="V331" s="3"/>
      <c r="X331" s="5"/>
      <c r="Y331" s="6"/>
      <c r="Z331" s="6"/>
      <c r="AA331" s="3"/>
      <c r="AB331" s="3"/>
      <c r="AE331" s="3"/>
    </row>
    <row r="332" spans="1:31" x14ac:dyDescent="0.35">
      <c r="A332">
        <v>323</v>
      </c>
      <c r="B332">
        <v>5</v>
      </c>
      <c r="C332" t="s">
        <v>329</v>
      </c>
      <c r="D332" t="s">
        <v>48</v>
      </c>
      <c r="E332" t="s">
        <v>32</v>
      </c>
      <c r="F332" s="1">
        <v>1.1499999999999999</v>
      </c>
      <c r="G332">
        <v>127</v>
      </c>
      <c r="H332">
        <v>111</v>
      </c>
      <c r="I332" t="s">
        <v>21</v>
      </c>
      <c r="J332">
        <v>140</v>
      </c>
      <c r="K332" t="s">
        <v>22</v>
      </c>
      <c r="L332">
        <f t="shared" si="5"/>
        <v>15393.804002589986</v>
      </c>
      <c r="M332">
        <v>0.64</v>
      </c>
      <c r="N332">
        <v>12.2</v>
      </c>
      <c r="O332" t="s">
        <v>22</v>
      </c>
      <c r="P332">
        <v>350</v>
      </c>
      <c r="Q332" t="s">
        <v>22</v>
      </c>
      <c r="R332">
        <v>0.19800000000000001</v>
      </c>
      <c r="T332" s="4"/>
      <c r="U332" s="3"/>
      <c r="V332" s="3"/>
      <c r="X332" s="5"/>
      <c r="Y332" s="6"/>
      <c r="Z332" s="6"/>
      <c r="AA332" s="3"/>
      <c r="AB332" s="3"/>
      <c r="AE332" s="3"/>
    </row>
    <row r="333" spans="1:31" x14ac:dyDescent="0.35">
      <c r="A333">
        <v>324</v>
      </c>
      <c r="B333">
        <v>6</v>
      </c>
      <c r="C333" t="s">
        <v>329</v>
      </c>
      <c r="D333" t="s">
        <v>48</v>
      </c>
      <c r="E333" t="s">
        <v>32</v>
      </c>
      <c r="F333" s="1">
        <v>1.1499999999999999</v>
      </c>
      <c r="G333">
        <v>123</v>
      </c>
      <c r="H333">
        <v>107</v>
      </c>
      <c r="I333" t="s">
        <v>21</v>
      </c>
      <c r="J333">
        <v>140</v>
      </c>
      <c r="K333" t="s">
        <v>22</v>
      </c>
      <c r="L333">
        <f t="shared" si="5"/>
        <v>15393.804002589986</v>
      </c>
      <c r="M333">
        <v>0.66</v>
      </c>
      <c r="N333">
        <v>12.2</v>
      </c>
      <c r="O333" t="s">
        <v>22</v>
      </c>
      <c r="P333">
        <v>350</v>
      </c>
      <c r="Q333" t="s">
        <v>22</v>
      </c>
      <c r="R333">
        <v>0.184</v>
      </c>
      <c r="T333" s="4"/>
      <c r="U333" s="3"/>
      <c r="V333" s="3"/>
      <c r="X333" s="5"/>
      <c r="Y333" s="6"/>
      <c r="Z333" s="6"/>
      <c r="AA333" s="3"/>
      <c r="AB333" s="3"/>
      <c r="AE333" s="3"/>
    </row>
    <row r="334" spans="1:31" x14ac:dyDescent="0.35">
      <c r="A334">
        <v>325</v>
      </c>
      <c r="B334">
        <v>7</v>
      </c>
      <c r="C334" t="s">
        <v>329</v>
      </c>
      <c r="D334" t="s">
        <v>48</v>
      </c>
      <c r="E334" t="s">
        <v>32</v>
      </c>
      <c r="F334" s="1">
        <v>1.1499999999999999</v>
      </c>
      <c r="G334">
        <v>122</v>
      </c>
      <c r="H334">
        <v>106</v>
      </c>
      <c r="I334" t="s">
        <v>21</v>
      </c>
      <c r="J334">
        <v>140</v>
      </c>
      <c r="K334" t="s">
        <v>22</v>
      </c>
      <c r="L334">
        <f t="shared" si="5"/>
        <v>15393.804002589986</v>
      </c>
      <c r="M334">
        <v>0.67</v>
      </c>
      <c r="N334">
        <v>12.2</v>
      </c>
      <c r="O334" t="s">
        <v>22</v>
      </c>
      <c r="P334">
        <v>350</v>
      </c>
      <c r="Q334" t="s">
        <v>22</v>
      </c>
      <c r="R334">
        <v>0.187</v>
      </c>
      <c r="T334" s="4"/>
      <c r="U334" s="3"/>
      <c r="V334" s="3"/>
      <c r="X334" s="5"/>
      <c r="Y334" s="6"/>
      <c r="Z334" s="6"/>
      <c r="AA334" s="3"/>
      <c r="AB334" s="3"/>
      <c r="AE334" s="3"/>
    </row>
    <row r="335" spans="1:31" x14ac:dyDescent="0.35">
      <c r="A335">
        <v>326</v>
      </c>
      <c r="B335">
        <v>1362</v>
      </c>
      <c r="C335" t="s">
        <v>330</v>
      </c>
      <c r="D335" t="s">
        <v>48</v>
      </c>
      <c r="E335" t="s">
        <v>32</v>
      </c>
      <c r="F335" s="1">
        <v>1.5</v>
      </c>
      <c r="G335">
        <v>302</v>
      </c>
      <c r="H335">
        <v>271</v>
      </c>
      <c r="I335" t="s">
        <v>32</v>
      </c>
      <c r="J335">
        <v>300</v>
      </c>
      <c r="K335" t="s">
        <v>22</v>
      </c>
      <c r="L335">
        <f t="shared" si="5"/>
        <v>90000</v>
      </c>
      <c r="M335">
        <v>1.06</v>
      </c>
      <c r="N335">
        <v>13.6</v>
      </c>
      <c r="O335">
        <v>30</v>
      </c>
      <c r="P335">
        <v>270</v>
      </c>
      <c r="Q335">
        <v>200</v>
      </c>
      <c r="R335">
        <v>1.1579999999999999</v>
      </c>
      <c r="T335" s="4"/>
      <c r="U335" s="3"/>
      <c r="V335" s="3"/>
      <c r="X335" s="5"/>
      <c r="Y335" s="6"/>
      <c r="Z335" s="6"/>
      <c r="AA335" s="3"/>
      <c r="AB335" s="3"/>
      <c r="AE335" s="3"/>
    </row>
    <row r="336" spans="1:31" x14ac:dyDescent="0.35">
      <c r="A336">
        <v>327</v>
      </c>
      <c r="B336">
        <v>1375</v>
      </c>
      <c r="C336" t="s">
        <v>330</v>
      </c>
      <c r="D336" t="s">
        <v>48</v>
      </c>
      <c r="E336" t="s">
        <v>32</v>
      </c>
      <c r="F336" s="1">
        <v>1.5</v>
      </c>
      <c r="G336">
        <v>504</v>
      </c>
      <c r="H336">
        <v>473</v>
      </c>
      <c r="I336" t="s">
        <v>32</v>
      </c>
      <c r="J336">
        <v>300</v>
      </c>
      <c r="K336" t="s">
        <v>22</v>
      </c>
      <c r="L336">
        <f t="shared" si="5"/>
        <v>90000</v>
      </c>
      <c r="M336">
        <v>0.6</v>
      </c>
      <c r="N336">
        <v>15.5</v>
      </c>
      <c r="O336">
        <v>30</v>
      </c>
      <c r="P336">
        <v>270</v>
      </c>
      <c r="Q336">
        <v>210</v>
      </c>
      <c r="R336">
        <v>1.6479999999999999</v>
      </c>
      <c r="T336" s="4"/>
      <c r="U336" s="3"/>
      <c r="V336" s="3"/>
      <c r="X336" s="5"/>
      <c r="Y336" s="6"/>
      <c r="Z336" s="6"/>
      <c r="AA336" s="3"/>
      <c r="AB336" s="3"/>
      <c r="AE336" s="3"/>
    </row>
    <row r="337" spans="1:31" x14ac:dyDescent="0.35">
      <c r="A337">
        <v>328</v>
      </c>
      <c r="B337" t="s">
        <v>331</v>
      </c>
      <c r="C337" t="s">
        <v>224</v>
      </c>
      <c r="D337" t="s">
        <v>48</v>
      </c>
      <c r="E337" t="s">
        <v>21</v>
      </c>
      <c r="F337" s="1">
        <v>3</v>
      </c>
      <c r="G337">
        <v>250</v>
      </c>
      <c r="H337">
        <v>210</v>
      </c>
      <c r="I337" t="s">
        <v>32</v>
      </c>
      <c r="J337">
        <v>260</v>
      </c>
      <c r="K337" t="s">
        <v>22</v>
      </c>
      <c r="L337">
        <f t="shared" si="5"/>
        <v>67600</v>
      </c>
      <c r="M337">
        <v>0.75</v>
      </c>
      <c r="N337">
        <v>31.5</v>
      </c>
      <c r="O337">
        <v>16</v>
      </c>
      <c r="P337">
        <v>570</v>
      </c>
      <c r="Q337" t="s">
        <v>22</v>
      </c>
      <c r="R337">
        <v>0.76300000000000001</v>
      </c>
      <c r="T337" s="4"/>
      <c r="U337" s="3"/>
      <c r="V337" s="3"/>
      <c r="X337" s="5"/>
      <c r="Y337" s="6"/>
      <c r="Z337" s="6"/>
      <c r="AA337" s="3"/>
      <c r="AB337" s="3"/>
      <c r="AE337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Kenel</dc:creator>
  <cp:lastModifiedBy>andre</cp:lastModifiedBy>
  <dcterms:created xsi:type="dcterms:W3CDTF">2021-10-19T17:09:08Z</dcterms:created>
  <dcterms:modified xsi:type="dcterms:W3CDTF">2021-10-29T12:17:17Z</dcterms:modified>
</cp:coreProperties>
</file>