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\Documents\ETH 22\Machine Learning\"/>
    </mc:Choice>
  </mc:AlternateContent>
  <xr:revisionPtr revIDLastSave="0" documentId="13_ncr:1_{3DB01F51-6041-4468-84D2-D812F774703D}" xr6:coauthVersionLast="47" xr6:coauthVersionMax="47" xr10:uidLastSave="{00000000-0000-0000-0000-000000000000}"/>
  <bookViews>
    <workbookView xWindow="-98" yWindow="-98" windowWidth="22695" windowHeight="14595" xr2:uid="{B0E07AEC-A2F0-419B-A1A0-6D29ACCE95A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2" i="1"/>
  <c r="S3" i="1" l="1"/>
  <c r="S4" i="1"/>
  <c r="S5" i="1"/>
  <c r="Q5" i="1" s="1"/>
  <c r="S6" i="1"/>
  <c r="Q6" i="1" s="1"/>
  <c r="S7" i="1"/>
  <c r="S8" i="1"/>
  <c r="S9" i="1"/>
  <c r="Q9" i="1" s="1"/>
  <c r="S10" i="1"/>
  <c r="S11" i="1"/>
  <c r="S12" i="1"/>
  <c r="S13" i="1"/>
  <c r="Q13" i="1" s="1"/>
  <c r="S14" i="1"/>
  <c r="Q14" i="1" s="1"/>
  <c r="S15" i="1"/>
  <c r="S16" i="1"/>
  <c r="S17" i="1"/>
  <c r="Q17" i="1" s="1"/>
  <c r="S18" i="1"/>
  <c r="Q18" i="1" s="1"/>
  <c r="S19" i="1"/>
  <c r="S20" i="1"/>
  <c r="S21" i="1"/>
  <c r="S22" i="1"/>
  <c r="Q22" i="1" s="1"/>
  <c r="S23" i="1"/>
  <c r="S24" i="1"/>
  <c r="S25" i="1"/>
  <c r="S26" i="1"/>
  <c r="Q26" i="1" s="1"/>
  <c r="S27" i="1"/>
  <c r="S28" i="1"/>
  <c r="S29" i="1"/>
  <c r="Q29" i="1" s="1"/>
  <c r="S30" i="1"/>
  <c r="S31" i="1"/>
  <c r="Q31" i="1" s="1"/>
  <c r="S32" i="1"/>
  <c r="S33" i="1"/>
  <c r="Q33" i="1" s="1"/>
  <c r="S34" i="1"/>
  <c r="T34" i="1" s="1"/>
  <c r="U34" i="1" s="1"/>
  <c r="S35" i="1"/>
  <c r="S36" i="1"/>
  <c r="Q36" i="1" s="1"/>
  <c r="S37" i="1"/>
  <c r="Q37" i="1" s="1"/>
  <c r="S38" i="1"/>
  <c r="Q38" i="1" s="1"/>
  <c r="S39" i="1"/>
  <c r="Q39" i="1" s="1"/>
  <c r="S40" i="1"/>
  <c r="S41" i="1"/>
  <c r="S42" i="1"/>
  <c r="Q42" i="1" s="1"/>
  <c r="S43" i="1"/>
  <c r="Q43" i="1" s="1"/>
  <c r="S44" i="1"/>
  <c r="Q44" i="1" s="1"/>
  <c r="S45" i="1"/>
  <c r="Q45" i="1" s="1"/>
  <c r="S46" i="1"/>
  <c r="Q46" i="1" s="1"/>
  <c r="S47" i="1"/>
  <c r="S48" i="1"/>
  <c r="S49" i="1"/>
  <c r="S50" i="1"/>
  <c r="Q50" i="1" s="1"/>
  <c r="S51" i="1"/>
  <c r="Q51" i="1" s="1"/>
  <c r="S52" i="1"/>
  <c r="Q52" i="1" s="1"/>
  <c r="S53" i="1"/>
  <c r="S54" i="1"/>
  <c r="Q54" i="1" s="1"/>
  <c r="S55" i="1"/>
  <c r="S56" i="1"/>
  <c r="S57" i="1"/>
  <c r="S58" i="1"/>
  <c r="Q58" i="1" s="1"/>
  <c r="S59" i="1"/>
  <c r="S60" i="1"/>
  <c r="S61" i="1"/>
  <c r="S62" i="1"/>
  <c r="Q62" i="1" s="1"/>
  <c r="S63" i="1"/>
  <c r="S64" i="1"/>
  <c r="Q64" i="1" s="1"/>
  <c r="S65" i="1"/>
  <c r="S66" i="1"/>
  <c r="Q66" i="1" s="1"/>
  <c r="S67" i="1"/>
  <c r="S68" i="1"/>
  <c r="S69" i="1"/>
  <c r="S70" i="1"/>
  <c r="Q70" i="1" s="1"/>
  <c r="S71" i="1"/>
  <c r="Q71" i="1" s="1"/>
  <c r="S72" i="1"/>
  <c r="Q72" i="1" s="1"/>
  <c r="S73" i="1"/>
  <c r="S74" i="1"/>
  <c r="Q74" i="1" s="1"/>
  <c r="S75" i="1"/>
  <c r="Q75" i="1" s="1"/>
  <c r="S76" i="1"/>
  <c r="S77" i="1"/>
  <c r="S78" i="1"/>
  <c r="Q78" i="1" s="1"/>
  <c r="S79" i="1"/>
  <c r="Q79" i="1" s="1"/>
  <c r="S80" i="1"/>
  <c r="S81" i="1"/>
  <c r="S82" i="1"/>
  <c r="Q82" i="1" s="1"/>
  <c r="S83" i="1"/>
  <c r="Q83" i="1" s="1"/>
  <c r="S84" i="1"/>
  <c r="Q84" i="1" s="1"/>
  <c r="S85" i="1"/>
  <c r="Q85" i="1" s="1"/>
  <c r="S86" i="1"/>
  <c r="Q86" i="1" s="1"/>
  <c r="S87" i="1"/>
  <c r="S88" i="1"/>
  <c r="S89" i="1"/>
  <c r="S90" i="1"/>
  <c r="Q90" i="1" s="1"/>
  <c r="S91" i="1"/>
  <c r="S92" i="1"/>
  <c r="Q92" i="1" s="1"/>
  <c r="S93" i="1"/>
  <c r="Q93" i="1" s="1"/>
  <c r="S94" i="1"/>
  <c r="Q94" i="1" s="1"/>
  <c r="S95" i="1"/>
  <c r="Q95" i="1" s="1"/>
  <c r="S96" i="1"/>
  <c r="S97" i="1"/>
  <c r="S98" i="1"/>
  <c r="Q98" i="1" s="1"/>
  <c r="S99" i="1"/>
  <c r="Q99" i="1" s="1"/>
  <c r="S100" i="1"/>
  <c r="S101" i="1"/>
  <c r="Q101" i="1" s="1"/>
  <c r="S102" i="1"/>
  <c r="Q102" i="1" s="1"/>
  <c r="S103" i="1"/>
  <c r="Q103" i="1" s="1"/>
  <c r="S104" i="1"/>
  <c r="S105" i="1"/>
  <c r="S106" i="1"/>
  <c r="Q106" i="1" s="1"/>
  <c r="S107" i="1"/>
  <c r="S108" i="1"/>
  <c r="S109" i="1"/>
  <c r="Q109" i="1" s="1"/>
  <c r="S110" i="1"/>
  <c r="Q110" i="1" s="1"/>
  <c r="S111" i="1"/>
  <c r="S112" i="1"/>
  <c r="Q112" i="1" s="1"/>
  <c r="S113" i="1"/>
  <c r="S114" i="1"/>
  <c r="Q114" i="1" s="1"/>
  <c r="S115" i="1"/>
  <c r="S116" i="1"/>
  <c r="Q116" i="1" s="1"/>
  <c r="S117" i="1"/>
  <c r="Q117" i="1" s="1"/>
  <c r="S118" i="1"/>
  <c r="Q118" i="1" s="1"/>
  <c r="S119" i="1"/>
  <c r="S120" i="1"/>
  <c r="S121" i="1"/>
  <c r="S122" i="1"/>
  <c r="Q122" i="1" s="1"/>
  <c r="S123" i="1"/>
  <c r="S124" i="1"/>
  <c r="S125" i="1"/>
  <c r="Q125" i="1" s="1"/>
  <c r="S126" i="1"/>
  <c r="Q126" i="1" s="1"/>
  <c r="S127" i="1"/>
  <c r="S128" i="1"/>
  <c r="Q128" i="1" s="1"/>
  <c r="S129" i="1"/>
  <c r="S130" i="1"/>
  <c r="Q130" i="1" s="1"/>
  <c r="S131" i="1"/>
  <c r="Q131" i="1" s="1"/>
  <c r="S132" i="1"/>
  <c r="S133" i="1"/>
  <c r="Q133" i="1" s="1"/>
  <c r="S134" i="1"/>
  <c r="Q134" i="1" s="1"/>
  <c r="S135" i="1"/>
  <c r="Q135" i="1" s="1"/>
  <c r="S136" i="1"/>
  <c r="S137" i="1"/>
  <c r="S138" i="1"/>
  <c r="Q138" i="1" s="1"/>
  <c r="S139" i="1"/>
  <c r="Q139" i="1" s="1"/>
  <c r="S140" i="1"/>
  <c r="S141" i="1"/>
  <c r="S142" i="1"/>
  <c r="Q142" i="1" s="1"/>
  <c r="S143" i="1"/>
  <c r="S144" i="1"/>
  <c r="Q144" i="1" s="1"/>
  <c r="S145" i="1"/>
  <c r="S146" i="1"/>
  <c r="Q146" i="1" s="1"/>
  <c r="S147" i="1"/>
  <c r="Q147" i="1" s="1"/>
  <c r="S148" i="1"/>
  <c r="S149" i="1"/>
  <c r="Q149" i="1" s="1"/>
  <c r="S150" i="1"/>
  <c r="Q150" i="1" s="1"/>
  <c r="S151" i="1"/>
  <c r="S152" i="1"/>
  <c r="Q152" i="1" s="1"/>
  <c r="S153" i="1"/>
  <c r="Q153" i="1" s="1"/>
  <c r="S154" i="1"/>
  <c r="Q154" i="1" s="1"/>
  <c r="S155" i="1"/>
  <c r="S156" i="1"/>
  <c r="S157" i="1"/>
  <c r="S158" i="1"/>
  <c r="Q158" i="1" s="1"/>
  <c r="S159" i="1"/>
  <c r="Q159" i="1" s="1"/>
  <c r="S160" i="1"/>
  <c r="S161" i="1"/>
  <c r="Q161" i="1" s="1"/>
  <c r="S162" i="1"/>
  <c r="Q162" i="1" s="1"/>
  <c r="S163" i="1"/>
  <c r="S164" i="1"/>
  <c r="S165" i="1"/>
  <c r="Q165" i="1" s="1"/>
  <c r="S166" i="1"/>
  <c r="Q166" i="1" s="1"/>
  <c r="S167" i="1"/>
  <c r="S168" i="1"/>
  <c r="S169" i="1"/>
  <c r="S170" i="1"/>
  <c r="T170" i="1" s="1"/>
  <c r="U170" i="1" s="1"/>
  <c r="S171" i="1"/>
  <c r="Q171" i="1" s="1"/>
  <c r="S172" i="1"/>
  <c r="Q172" i="1" s="1"/>
  <c r="S173" i="1"/>
  <c r="Q173" i="1" s="1"/>
  <c r="S174" i="1"/>
  <c r="Q174" i="1" s="1"/>
  <c r="S175" i="1"/>
  <c r="S176" i="1"/>
  <c r="S177" i="1"/>
  <c r="Q177" i="1" s="1"/>
  <c r="S178" i="1"/>
  <c r="S179" i="1"/>
  <c r="S180" i="1"/>
  <c r="S181" i="1"/>
  <c r="Q181" i="1" s="1"/>
  <c r="S182" i="1"/>
  <c r="Q182" i="1" s="1"/>
  <c r="S183" i="1"/>
  <c r="S184" i="1"/>
  <c r="S185" i="1"/>
  <c r="Q185" i="1" s="1"/>
  <c r="S186" i="1"/>
  <c r="Q186" i="1" s="1"/>
  <c r="S187" i="1"/>
  <c r="Q187" i="1" s="1"/>
  <c r="S188" i="1"/>
  <c r="S189" i="1"/>
  <c r="S190" i="1"/>
  <c r="Q190" i="1" s="1"/>
  <c r="S191" i="1"/>
  <c r="S192" i="1"/>
  <c r="Q192" i="1" s="1"/>
  <c r="S193" i="1"/>
  <c r="Q193" i="1" s="1"/>
  <c r="S194" i="1"/>
  <c r="Q194" i="1" s="1"/>
  <c r="S195" i="1"/>
  <c r="S196" i="1"/>
  <c r="S197" i="1"/>
  <c r="Q197" i="1" s="1"/>
  <c r="S198" i="1"/>
  <c r="Q198" i="1" s="1"/>
  <c r="S199" i="1"/>
  <c r="Q199" i="1" s="1"/>
  <c r="S200" i="1"/>
  <c r="S201" i="1"/>
  <c r="S202" i="1"/>
  <c r="T202" i="1" s="1"/>
  <c r="U202" i="1" s="1"/>
  <c r="S203" i="1"/>
  <c r="S204" i="1"/>
  <c r="S205" i="1"/>
  <c r="Q205" i="1" s="1"/>
  <c r="S206" i="1"/>
  <c r="Q206" i="1" s="1"/>
  <c r="S207" i="1"/>
  <c r="S208" i="1"/>
  <c r="S209" i="1"/>
  <c r="S210" i="1"/>
  <c r="S211" i="1"/>
  <c r="S212" i="1"/>
  <c r="S213" i="1"/>
  <c r="S214" i="1"/>
  <c r="Q214" i="1" s="1"/>
  <c r="S215" i="1"/>
  <c r="S216" i="1"/>
  <c r="S217" i="1"/>
  <c r="Q217" i="1" s="1"/>
  <c r="S218" i="1"/>
  <c r="Q218" i="1" s="1"/>
  <c r="S219" i="1"/>
  <c r="S220" i="1"/>
  <c r="S221" i="1"/>
  <c r="S222" i="1"/>
  <c r="Q222" i="1" s="1"/>
  <c r="S223" i="1"/>
  <c r="S224" i="1"/>
  <c r="Q224" i="1" s="1"/>
  <c r="S225" i="1"/>
  <c r="Q225" i="1" s="1"/>
  <c r="S226" i="1"/>
  <c r="Q226" i="1" s="1"/>
  <c r="S227" i="1"/>
  <c r="Q227" i="1" s="1"/>
  <c r="S228" i="1"/>
  <c r="S229" i="1"/>
  <c r="Q229" i="1" s="1"/>
  <c r="S230" i="1"/>
  <c r="Q230" i="1" s="1"/>
  <c r="S231" i="1"/>
  <c r="S232" i="1"/>
  <c r="S233" i="1"/>
  <c r="Q233" i="1" s="1"/>
  <c r="S234" i="1"/>
  <c r="S235" i="1"/>
  <c r="S236" i="1"/>
  <c r="S237" i="1"/>
  <c r="Q237" i="1" s="1"/>
  <c r="S238" i="1"/>
  <c r="Q238" i="1" s="1"/>
  <c r="S239" i="1"/>
  <c r="S240" i="1"/>
  <c r="Q240" i="1" s="1"/>
  <c r="S241" i="1"/>
  <c r="T241" i="1" s="1"/>
  <c r="U241" i="1" s="1"/>
  <c r="S242" i="1"/>
  <c r="S243" i="1"/>
  <c r="S244" i="1"/>
  <c r="Q244" i="1" s="1"/>
  <c r="S245" i="1"/>
  <c r="Q245" i="1" s="1"/>
  <c r="S246" i="1"/>
  <c r="Q246" i="1" s="1"/>
  <c r="S247" i="1"/>
  <c r="S248" i="1"/>
  <c r="S249" i="1"/>
  <c r="S250" i="1"/>
  <c r="Q250" i="1" s="1"/>
  <c r="S251" i="1"/>
  <c r="S252" i="1"/>
  <c r="S253" i="1"/>
  <c r="Q253" i="1" s="1"/>
  <c r="S254" i="1"/>
  <c r="Q254" i="1" s="1"/>
  <c r="S255" i="1"/>
  <c r="Q255" i="1" s="1"/>
  <c r="S256" i="1"/>
  <c r="Q256" i="1" s="1"/>
  <c r="S257" i="1"/>
  <c r="Q257" i="1" s="1"/>
  <c r="S258" i="1"/>
  <c r="S259" i="1"/>
  <c r="S260" i="1"/>
  <c r="S261" i="1"/>
  <c r="S262" i="1"/>
  <c r="S263" i="1"/>
  <c r="S264" i="1"/>
  <c r="Q264" i="1" s="1"/>
  <c r="S265" i="1"/>
  <c r="Q265" i="1" s="1"/>
  <c r="S266" i="1"/>
  <c r="Q266" i="1" s="1"/>
  <c r="S267" i="1"/>
  <c r="S268" i="1"/>
  <c r="S269" i="1"/>
  <c r="Q269" i="1" s="1"/>
  <c r="S270" i="1"/>
  <c r="Q270" i="1" s="1"/>
  <c r="S271" i="1"/>
  <c r="S272" i="1"/>
  <c r="S273" i="1"/>
  <c r="Q273" i="1" s="1"/>
  <c r="S274" i="1"/>
  <c r="Q274" i="1" s="1"/>
  <c r="S275" i="1"/>
  <c r="S276" i="1"/>
  <c r="S277" i="1"/>
  <c r="Q277" i="1" s="1"/>
  <c r="S278" i="1"/>
  <c r="Q278" i="1" s="1"/>
  <c r="S279" i="1"/>
  <c r="S280" i="1"/>
  <c r="Q280" i="1" s="1"/>
  <c r="S281" i="1"/>
  <c r="S282" i="1"/>
  <c r="Q282" i="1" s="1"/>
  <c r="S283" i="1"/>
  <c r="S284" i="1"/>
  <c r="S285" i="1"/>
  <c r="Q285" i="1" s="1"/>
  <c r="S286" i="1"/>
  <c r="Q286" i="1" s="1"/>
  <c r="S287" i="1"/>
  <c r="S288" i="1"/>
  <c r="S289" i="1"/>
  <c r="Q289" i="1" s="1"/>
  <c r="S290" i="1"/>
  <c r="Q290" i="1" s="1"/>
  <c r="S291" i="1"/>
  <c r="S292" i="1"/>
  <c r="S293" i="1"/>
  <c r="Q293" i="1" s="1"/>
  <c r="S294" i="1"/>
  <c r="Q294" i="1" s="1"/>
  <c r="S295" i="1"/>
  <c r="Q295" i="1" s="1"/>
  <c r="S296" i="1"/>
  <c r="S297" i="1"/>
  <c r="Q297" i="1" s="1"/>
  <c r="S298" i="1"/>
  <c r="Q298" i="1" s="1"/>
  <c r="S299" i="1"/>
  <c r="S300" i="1"/>
  <c r="S301" i="1"/>
  <c r="Q301" i="1" s="1"/>
  <c r="S302" i="1"/>
  <c r="Q302" i="1" s="1"/>
  <c r="S303" i="1"/>
  <c r="S304" i="1"/>
  <c r="S305" i="1"/>
  <c r="Q305" i="1" s="1"/>
  <c r="S306" i="1"/>
  <c r="Q306" i="1" s="1"/>
  <c r="S307" i="1"/>
  <c r="S308" i="1"/>
  <c r="S309" i="1"/>
  <c r="Q309" i="1" s="1"/>
  <c r="S310" i="1"/>
  <c r="Q310" i="1" s="1"/>
  <c r="S311" i="1"/>
  <c r="S312" i="1"/>
  <c r="S313" i="1"/>
  <c r="Q313" i="1" s="1"/>
  <c r="S314" i="1"/>
  <c r="Q314" i="1" s="1"/>
  <c r="S315" i="1"/>
  <c r="S316" i="1"/>
  <c r="S317" i="1"/>
  <c r="Q317" i="1" s="1"/>
  <c r="S318" i="1"/>
  <c r="Q318" i="1" s="1"/>
  <c r="S319" i="1"/>
  <c r="S320" i="1"/>
  <c r="S321" i="1"/>
  <c r="Q321" i="1" s="1"/>
  <c r="S322" i="1"/>
  <c r="Q322" i="1" s="1"/>
  <c r="S323" i="1"/>
  <c r="S324" i="1"/>
  <c r="S325" i="1"/>
  <c r="Q325" i="1" s="1"/>
  <c r="S326" i="1"/>
  <c r="Q326" i="1" s="1"/>
  <c r="S327" i="1"/>
  <c r="S328" i="1"/>
  <c r="Q328" i="1" s="1"/>
  <c r="S329" i="1"/>
  <c r="Q329" i="1" s="1"/>
  <c r="S330" i="1"/>
  <c r="Q330" i="1" s="1"/>
  <c r="S331" i="1"/>
  <c r="S332" i="1"/>
  <c r="S333" i="1"/>
  <c r="Q333" i="1" s="1"/>
  <c r="S334" i="1"/>
  <c r="Q334" i="1" s="1"/>
  <c r="S335" i="1"/>
  <c r="S336" i="1"/>
  <c r="S337" i="1"/>
  <c r="Q337" i="1" s="1"/>
  <c r="S2" i="1"/>
  <c r="Q2" i="1" s="1"/>
  <c r="R37" i="1"/>
  <c r="R38" i="1"/>
  <c r="R39" i="1"/>
  <c r="T39" i="1" s="1"/>
  <c r="U39" i="1" s="1"/>
  <c r="Q40" i="1"/>
  <c r="R40" i="1"/>
  <c r="R41" i="1"/>
  <c r="R42" i="1"/>
  <c r="R43" i="1"/>
  <c r="T43" i="1" s="1"/>
  <c r="U43" i="1" s="1"/>
  <c r="R44" i="1"/>
  <c r="T44" i="1" s="1"/>
  <c r="U44" i="1" s="1"/>
  <c r="R45" i="1"/>
  <c r="T45" i="1"/>
  <c r="U45" i="1" s="1"/>
  <c r="R46" i="1"/>
  <c r="Q47" i="1"/>
  <c r="R47" i="1"/>
  <c r="T47" i="1" s="1"/>
  <c r="U47" i="1" s="1"/>
  <c r="Q48" i="1"/>
  <c r="R48" i="1"/>
  <c r="R49" i="1"/>
  <c r="R50" i="1"/>
  <c r="R51" i="1"/>
  <c r="T51" i="1" s="1"/>
  <c r="U51" i="1" s="1"/>
  <c r="R52" i="1"/>
  <c r="T52" i="1"/>
  <c r="U52" i="1" s="1"/>
  <c r="R53" i="1"/>
  <c r="R54" i="1"/>
  <c r="Q55" i="1"/>
  <c r="R55" i="1"/>
  <c r="T55" i="1" s="1"/>
  <c r="U55" i="1" s="1"/>
  <c r="Q56" i="1"/>
  <c r="R56" i="1"/>
  <c r="R57" i="1"/>
  <c r="R58" i="1"/>
  <c r="Q59" i="1"/>
  <c r="R59" i="1"/>
  <c r="T59" i="1" s="1"/>
  <c r="U59" i="1" s="1"/>
  <c r="Q60" i="1"/>
  <c r="R60" i="1"/>
  <c r="T60" i="1" s="1"/>
  <c r="U60" i="1" s="1"/>
  <c r="R61" i="1"/>
  <c r="R62" i="1"/>
  <c r="Q63" i="1"/>
  <c r="R63" i="1"/>
  <c r="R64" i="1"/>
  <c r="T64" i="1" s="1"/>
  <c r="U64" i="1" s="1"/>
  <c r="R65" i="1"/>
  <c r="R66" i="1"/>
  <c r="Q67" i="1"/>
  <c r="R67" i="1"/>
  <c r="T67" i="1" s="1"/>
  <c r="U67" i="1" s="1"/>
  <c r="Q68" i="1"/>
  <c r="R68" i="1"/>
  <c r="T68" i="1" s="1"/>
  <c r="U68" i="1" s="1"/>
  <c r="R69" i="1"/>
  <c r="R70" i="1"/>
  <c r="R71" i="1"/>
  <c r="T71" i="1" s="1"/>
  <c r="U71" i="1" s="1"/>
  <c r="R72" i="1"/>
  <c r="T72" i="1" s="1"/>
  <c r="U72" i="1" s="1"/>
  <c r="R73" i="1"/>
  <c r="R74" i="1"/>
  <c r="R75" i="1"/>
  <c r="T75" i="1" s="1"/>
  <c r="U75" i="1" s="1"/>
  <c r="Q76" i="1"/>
  <c r="R76" i="1"/>
  <c r="T76" i="1"/>
  <c r="U76" i="1" s="1"/>
  <c r="R77" i="1"/>
  <c r="R78" i="1"/>
  <c r="R79" i="1"/>
  <c r="T79" i="1" s="1"/>
  <c r="U79" i="1" s="1"/>
  <c r="Q80" i="1"/>
  <c r="R80" i="1"/>
  <c r="R81" i="1"/>
  <c r="R82" i="1"/>
  <c r="R83" i="1"/>
  <c r="T83" i="1" s="1"/>
  <c r="U83" i="1" s="1"/>
  <c r="R84" i="1"/>
  <c r="T84" i="1" s="1"/>
  <c r="U84" i="1" s="1"/>
  <c r="R85" i="1"/>
  <c r="R86" i="1"/>
  <c r="Q87" i="1"/>
  <c r="R87" i="1"/>
  <c r="T87" i="1" s="1"/>
  <c r="U87" i="1" s="1"/>
  <c r="Q88" i="1"/>
  <c r="R88" i="1"/>
  <c r="T88" i="1" s="1"/>
  <c r="U88" i="1" s="1"/>
  <c r="R89" i="1"/>
  <c r="R90" i="1"/>
  <c r="Q91" i="1"/>
  <c r="R91" i="1"/>
  <c r="T91" i="1" s="1"/>
  <c r="U91" i="1" s="1"/>
  <c r="R92" i="1"/>
  <c r="T92" i="1" s="1"/>
  <c r="U92" i="1" s="1"/>
  <c r="R93" i="1"/>
  <c r="R94" i="1"/>
  <c r="R95" i="1"/>
  <c r="T95" i="1" s="1"/>
  <c r="U95" i="1" s="1"/>
  <c r="Q96" i="1"/>
  <c r="R96" i="1"/>
  <c r="T96" i="1" s="1"/>
  <c r="U96" i="1" s="1"/>
  <c r="R97" i="1"/>
  <c r="R98" i="1"/>
  <c r="R99" i="1"/>
  <c r="T99" i="1" s="1"/>
  <c r="U99" i="1" s="1"/>
  <c r="Q100" i="1"/>
  <c r="R100" i="1"/>
  <c r="T100" i="1" s="1"/>
  <c r="U100" i="1" s="1"/>
  <c r="R101" i="1"/>
  <c r="R102" i="1"/>
  <c r="R103" i="1"/>
  <c r="T103" i="1" s="1"/>
  <c r="U103" i="1" s="1"/>
  <c r="Q104" i="1"/>
  <c r="R104" i="1"/>
  <c r="R105" i="1"/>
  <c r="R106" i="1"/>
  <c r="Q107" i="1"/>
  <c r="R107" i="1"/>
  <c r="Q108" i="1"/>
  <c r="R108" i="1"/>
  <c r="T108" i="1"/>
  <c r="U108" i="1" s="1"/>
  <c r="R109" i="1"/>
  <c r="R110" i="1"/>
  <c r="Q111" i="1"/>
  <c r="R111" i="1"/>
  <c r="T111" i="1" s="1"/>
  <c r="U111" i="1" s="1"/>
  <c r="R112" i="1"/>
  <c r="T112" i="1"/>
  <c r="U112" i="1"/>
  <c r="R113" i="1"/>
  <c r="R114" i="1"/>
  <c r="Q115" i="1"/>
  <c r="R115" i="1"/>
  <c r="T115" i="1" s="1"/>
  <c r="U115" i="1" s="1"/>
  <c r="R116" i="1"/>
  <c r="T116" i="1"/>
  <c r="U116" i="1" s="1"/>
  <c r="R117" i="1"/>
  <c r="T117" i="1" s="1"/>
  <c r="U117" i="1" s="1"/>
  <c r="R118" i="1"/>
  <c r="Q119" i="1"/>
  <c r="R119" i="1"/>
  <c r="T119" i="1" s="1"/>
  <c r="U119" i="1" s="1"/>
  <c r="Q120" i="1"/>
  <c r="R120" i="1"/>
  <c r="R121" i="1"/>
  <c r="R122" i="1"/>
  <c r="Q123" i="1"/>
  <c r="R123" i="1"/>
  <c r="T123" i="1" s="1"/>
  <c r="U123" i="1" s="1"/>
  <c r="Q124" i="1"/>
  <c r="R124" i="1"/>
  <c r="T124" i="1"/>
  <c r="U124" i="1" s="1"/>
  <c r="R125" i="1"/>
  <c r="R126" i="1"/>
  <c r="Q127" i="1"/>
  <c r="R127" i="1"/>
  <c r="T127" i="1" s="1"/>
  <c r="U127" i="1" s="1"/>
  <c r="R128" i="1"/>
  <c r="T128" i="1"/>
  <c r="U128" i="1" s="1"/>
  <c r="R129" i="1"/>
  <c r="R130" i="1"/>
  <c r="R131" i="1"/>
  <c r="T131" i="1" s="1"/>
  <c r="U131" i="1"/>
  <c r="Q132" i="1"/>
  <c r="R132" i="1"/>
  <c r="T132" i="1"/>
  <c r="U132" i="1" s="1"/>
  <c r="R133" i="1"/>
  <c r="R134" i="1"/>
  <c r="R135" i="1"/>
  <c r="T135" i="1" s="1"/>
  <c r="U135" i="1" s="1"/>
  <c r="Q136" i="1"/>
  <c r="R136" i="1"/>
  <c r="T136" i="1" s="1"/>
  <c r="U136" i="1" s="1"/>
  <c r="R137" i="1"/>
  <c r="R138" i="1"/>
  <c r="R139" i="1"/>
  <c r="T139" i="1" s="1"/>
  <c r="U139" i="1" s="1"/>
  <c r="Q140" i="1"/>
  <c r="R140" i="1"/>
  <c r="T140" i="1" s="1"/>
  <c r="U140" i="1" s="1"/>
  <c r="R141" i="1"/>
  <c r="R142" i="1"/>
  <c r="Q143" i="1"/>
  <c r="R143" i="1"/>
  <c r="T143" i="1" s="1"/>
  <c r="U143" i="1" s="1"/>
  <c r="R144" i="1"/>
  <c r="T144" i="1" s="1"/>
  <c r="U144" i="1" s="1"/>
  <c r="R145" i="1"/>
  <c r="R146" i="1"/>
  <c r="R147" i="1"/>
  <c r="T147" i="1" s="1"/>
  <c r="U147" i="1" s="1"/>
  <c r="Q148" i="1"/>
  <c r="R148" i="1"/>
  <c r="T148" i="1"/>
  <c r="U148" i="1" s="1"/>
  <c r="R149" i="1"/>
  <c r="R150" i="1"/>
  <c r="R151" i="1"/>
  <c r="Q151" i="1"/>
  <c r="R152" i="1"/>
  <c r="T152" i="1" s="1"/>
  <c r="U152" i="1" s="1"/>
  <c r="R153" i="1"/>
  <c r="T153" i="1" s="1"/>
  <c r="U153" i="1" s="1"/>
  <c r="R154" i="1"/>
  <c r="R155" i="1"/>
  <c r="Q155" i="1"/>
  <c r="Q156" i="1"/>
  <c r="R156" i="1"/>
  <c r="T156" i="1" s="1"/>
  <c r="U156" i="1" s="1"/>
  <c r="R157" i="1"/>
  <c r="R158" i="1"/>
  <c r="R159" i="1"/>
  <c r="Q160" i="1"/>
  <c r="R160" i="1"/>
  <c r="R161" i="1"/>
  <c r="R162" i="1"/>
  <c r="R163" i="1"/>
  <c r="T163" i="1" s="1"/>
  <c r="U163" i="1" s="1"/>
  <c r="Q163" i="1"/>
  <c r="Q164" i="1"/>
  <c r="R164" i="1"/>
  <c r="T164" i="1" s="1"/>
  <c r="U164" i="1" s="1"/>
  <c r="R165" i="1"/>
  <c r="R166" i="1"/>
  <c r="R167" i="1"/>
  <c r="Q167" i="1"/>
  <c r="Q168" i="1"/>
  <c r="R168" i="1"/>
  <c r="R169" i="1"/>
  <c r="R170" i="1"/>
  <c r="R171" i="1"/>
  <c r="T171" i="1" s="1"/>
  <c r="U171" i="1" s="1"/>
  <c r="R172" i="1"/>
  <c r="T172" i="1" s="1"/>
  <c r="U172" i="1" s="1"/>
  <c r="R173" i="1"/>
  <c r="R174" i="1"/>
  <c r="R175" i="1"/>
  <c r="Q175" i="1"/>
  <c r="Q176" i="1"/>
  <c r="R176" i="1"/>
  <c r="T176" i="1" s="1"/>
  <c r="U176" i="1" s="1"/>
  <c r="R177" i="1"/>
  <c r="R178" i="1"/>
  <c r="R179" i="1"/>
  <c r="T179" i="1" s="1"/>
  <c r="U179" i="1" s="1"/>
  <c r="Q179" i="1"/>
  <c r="Q180" i="1"/>
  <c r="R180" i="1"/>
  <c r="T180" i="1" s="1"/>
  <c r="U180" i="1" s="1"/>
  <c r="R181" i="1"/>
  <c r="R182" i="1"/>
  <c r="R183" i="1"/>
  <c r="Q183" i="1"/>
  <c r="Q184" i="1"/>
  <c r="R184" i="1"/>
  <c r="T184" i="1" s="1"/>
  <c r="U184" i="1" s="1"/>
  <c r="R185" i="1"/>
  <c r="R186" i="1"/>
  <c r="R187" i="1"/>
  <c r="T187" i="1" s="1"/>
  <c r="U187" i="1" s="1"/>
  <c r="Q188" i="1"/>
  <c r="R188" i="1"/>
  <c r="T188" i="1" s="1"/>
  <c r="U188" i="1" s="1"/>
  <c r="R189" i="1"/>
  <c r="R190" i="1"/>
  <c r="R191" i="1"/>
  <c r="Q191" i="1"/>
  <c r="R192" i="1"/>
  <c r="T192" i="1" s="1"/>
  <c r="U192" i="1" s="1"/>
  <c r="R193" i="1"/>
  <c r="T193" i="1" s="1"/>
  <c r="U193" i="1" s="1"/>
  <c r="R194" i="1"/>
  <c r="R195" i="1"/>
  <c r="Q195" i="1"/>
  <c r="Q196" i="1"/>
  <c r="R196" i="1"/>
  <c r="T196" i="1" s="1"/>
  <c r="U196" i="1" s="1"/>
  <c r="R197" i="1"/>
  <c r="R198" i="1"/>
  <c r="R199" i="1"/>
  <c r="Q200" i="1"/>
  <c r="R200" i="1"/>
  <c r="R201" i="1"/>
  <c r="R202" i="1"/>
  <c r="R203" i="1"/>
  <c r="T203" i="1" s="1"/>
  <c r="U203" i="1" s="1"/>
  <c r="Q203" i="1"/>
  <c r="Q204" i="1"/>
  <c r="R204" i="1"/>
  <c r="T204" i="1" s="1"/>
  <c r="U204" i="1" s="1"/>
  <c r="R205" i="1"/>
  <c r="T205" i="1" s="1"/>
  <c r="U205" i="1" s="1"/>
  <c r="R206" i="1"/>
  <c r="R207" i="1"/>
  <c r="Q207" i="1"/>
  <c r="Q208" i="1"/>
  <c r="R208" i="1"/>
  <c r="R209" i="1"/>
  <c r="R210" i="1"/>
  <c r="R211" i="1"/>
  <c r="Q211" i="1"/>
  <c r="Q212" i="1"/>
  <c r="R212" i="1"/>
  <c r="T212" i="1" s="1"/>
  <c r="U212" i="1" s="1"/>
  <c r="R213" i="1"/>
  <c r="R214" i="1"/>
  <c r="R215" i="1"/>
  <c r="Q215" i="1"/>
  <c r="Q216" i="1"/>
  <c r="R216" i="1"/>
  <c r="R217" i="1"/>
  <c r="R218" i="1"/>
  <c r="R219" i="1"/>
  <c r="T219" i="1" s="1"/>
  <c r="U219" i="1" s="1"/>
  <c r="Q219" i="1"/>
  <c r="Q220" i="1"/>
  <c r="R220" i="1"/>
  <c r="T220" i="1" s="1"/>
  <c r="U220" i="1" s="1"/>
  <c r="Q221" i="1"/>
  <c r="R221" i="1"/>
  <c r="R222" i="1"/>
  <c r="R223" i="1"/>
  <c r="Q223" i="1"/>
  <c r="R224" i="1"/>
  <c r="T224" i="1" s="1"/>
  <c r="U224" i="1" s="1"/>
  <c r="R225" i="1"/>
  <c r="R226" i="1"/>
  <c r="T226" i="1" s="1"/>
  <c r="U226" i="1" s="1"/>
  <c r="R227" i="1"/>
  <c r="T227" i="1" s="1"/>
  <c r="U227" i="1" s="1"/>
  <c r="Q228" i="1"/>
  <c r="R228" i="1"/>
  <c r="T228" i="1" s="1"/>
  <c r="U228" i="1" s="1"/>
  <c r="R229" i="1"/>
  <c r="R230" i="1"/>
  <c r="R231" i="1"/>
  <c r="Q231" i="1"/>
  <c r="Q232" i="1"/>
  <c r="R232" i="1"/>
  <c r="R233" i="1"/>
  <c r="R234" i="1"/>
  <c r="R235" i="1"/>
  <c r="Q235" i="1"/>
  <c r="Q236" i="1"/>
  <c r="R236" i="1"/>
  <c r="T236" i="1" s="1"/>
  <c r="U236" i="1" s="1"/>
  <c r="R237" i="1"/>
  <c r="R238" i="1"/>
  <c r="R239" i="1"/>
  <c r="Q239" i="1"/>
  <c r="R240" i="1"/>
  <c r="T240" i="1" s="1"/>
  <c r="U240" i="1"/>
  <c r="Q241" i="1"/>
  <c r="R241" i="1"/>
  <c r="R242" i="1"/>
  <c r="Q243" i="1"/>
  <c r="R243" i="1"/>
  <c r="T243" i="1" s="1"/>
  <c r="U243" i="1" s="1"/>
  <c r="R244" i="1"/>
  <c r="T244" i="1"/>
  <c r="U244" i="1" s="1"/>
  <c r="R245" i="1"/>
  <c r="T245" i="1" s="1"/>
  <c r="U245" i="1" s="1"/>
  <c r="R246" i="1"/>
  <c r="R247" i="1"/>
  <c r="Q247" i="1"/>
  <c r="Q248" i="1"/>
  <c r="R248" i="1"/>
  <c r="T248" i="1"/>
  <c r="U248" i="1" s="1"/>
  <c r="R249" i="1"/>
  <c r="R250" i="1"/>
  <c r="R251" i="1"/>
  <c r="Q251" i="1"/>
  <c r="Q252" i="1"/>
  <c r="R252" i="1"/>
  <c r="T252" i="1" s="1"/>
  <c r="U252" i="1" s="1"/>
  <c r="R253" i="1"/>
  <c r="R254" i="1"/>
  <c r="R255" i="1"/>
  <c r="T255" i="1" s="1"/>
  <c r="U255" i="1" s="1"/>
  <c r="R256" i="1"/>
  <c r="T256" i="1" s="1"/>
  <c r="U256" i="1" s="1"/>
  <c r="R257" i="1"/>
  <c r="R258" i="1"/>
  <c r="Q259" i="1"/>
  <c r="R259" i="1"/>
  <c r="Q260" i="1"/>
  <c r="R260" i="1"/>
  <c r="T260" i="1" s="1"/>
  <c r="U260" i="1" s="1"/>
  <c r="R261" i="1"/>
  <c r="R262" i="1"/>
  <c r="R263" i="1"/>
  <c r="Q263" i="1"/>
  <c r="R264" i="1"/>
  <c r="T264" i="1" s="1"/>
  <c r="U264" i="1" s="1"/>
  <c r="R265" i="1"/>
  <c r="R266" i="1"/>
  <c r="Q267" i="1"/>
  <c r="R267" i="1"/>
  <c r="T267" i="1" s="1"/>
  <c r="U267" i="1" s="1"/>
  <c r="R268" i="1"/>
  <c r="T268" i="1" s="1"/>
  <c r="U268" i="1" s="1"/>
  <c r="Q268" i="1"/>
  <c r="R269" i="1"/>
  <c r="R270" i="1"/>
  <c r="Q271" i="1"/>
  <c r="R271" i="1"/>
  <c r="T271" i="1" s="1"/>
  <c r="U271" i="1" s="1"/>
  <c r="R272" i="1"/>
  <c r="Q272" i="1"/>
  <c r="T272" i="1"/>
  <c r="U272" i="1" s="1"/>
  <c r="R273" i="1"/>
  <c r="R274" i="1"/>
  <c r="Q275" i="1"/>
  <c r="R275" i="1"/>
  <c r="T275" i="1" s="1"/>
  <c r="U275" i="1" s="1"/>
  <c r="R276" i="1"/>
  <c r="Q276" i="1"/>
  <c r="T276" i="1"/>
  <c r="U276" i="1" s="1"/>
  <c r="R277" i="1"/>
  <c r="R278" i="1"/>
  <c r="Q279" i="1"/>
  <c r="R279" i="1"/>
  <c r="T279" i="1" s="1"/>
  <c r="U279" i="1" s="1"/>
  <c r="R280" i="1"/>
  <c r="T280" i="1" s="1"/>
  <c r="U280" i="1" s="1"/>
  <c r="R281" i="1"/>
  <c r="Q281" i="1"/>
  <c r="R282" i="1"/>
  <c r="Q283" i="1"/>
  <c r="R283" i="1"/>
  <c r="T283" i="1" s="1"/>
  <c r="U283" i="1" s="1"/>
  <c r="R284" i="1"/>
  <c r="T284" i="1" s="1"/>
  <c r="U284" i="1" s="1"/>
  <c r="Q284" i="1"/>
  <c r="R285" i="1"/>
  <c r="R286" i="1"/>
  <c r="Q287" i="1"/>
  <c r="R287" i="1"/>
  <c r="T287" i="1" s="1"/>
  <c r="U287" i="1" s="1"/>
  <c r="R288" i="1"/>
  <c r="T288" i="1" s="1"/>
  <c r="U288" i="1" s="1"/>
  <c r="Q288" i="1"/>
  <c r="R289" i="1"/>
  <c r="R290" i="1"/>
  <c r="Q291" i="1"/>
  <c r="R291" i="1"/>
  <c r="T291" i="1"/>
  <c r="U291" i="1" s="1"/>
  <c r="R292" i="1"/>
  <c r="T292" i="1" s="1"/>
  <c r="U292" i="1" s="1"/>
  <c r="Q292" i="1"/>
  <c r="R293" i="1"/>
  <c r="T293" i="1" s="1"/>
  <c r="U293" i="1" s="1"/>
  <c r="R294" i="1"/>
  <c r="R295" i="1"/>
  <c r="T295" i="1" s="1"/>
  <c r="U295" i="1" s="1"/>
  <c r="R296" i="1"/>
  <c r="T296" i="1" s="1"/>
  <c r="U296" i="1" s="1"/>
  <c r="Q296" i="1"/>
  <c r="R297" i="1"/>
  <c r="R298" i="1"/>
  <c r="Q299" i="1"/>
  <c r="R299" i="1"/>
  <c r="T299" i="1" s="1"/>
  <c r="U299" i="1" s="1"/>
  <c r="R300" i="1"/>
  <c r="T300" i="1" s="1"/>
  <c r="U300" i="1" s="1"/>
  <c r="Q300" i="1"/>
  <c r="R301" i="1"/>
  <c r="R302" i="1"/>
  <c r="Q303" i="1"/>
  <c r="R303" i="1"/>
  <c r="T303" i="1" s="1"/>
  <c r="U303" i="1" s="1"/>
  <c r="R304" i="1"/>
  <c r="T304" i="1" s="1"/>
  <c r="U304" i="1" s="1"/>
  <c r="Q304" i="1"/>
  <c r="R305" i="1"/>
  <c r="R306" i="1"/>
  <c r="Q307" i="1"/>
  <c r="R307" i="1"/>
  <c r="T307" i="1"/>
  <c r="U307" i="1" s="1"/>
  <c r="R308" i="1"/>
  <c r="Q308" i="1"/>
  <c r="R309" i="1"/>
  <c r="R310" i="1"/>
  <c r="Q311" i="1"/>
  <c r="R311" i="1"/>
  <c r="T311" i="1" s="1"/>
  <c r="U311" i="1" s="1"/>
  <c r="R312" i="1"/>
  <c r="T312" i="1" s="1"/>
  <c r="U312" i="1" s="1"/>
  <c r="Q312" i="1"/>
  <c r="R313" i="1"/>
  <c r="R314" i="1"/>
  <c r="Q315" i="1"/>
  <c r="R315" i="1"/>
  <c r="T315" i="1"/>
  <c r="U315" i="1" s="1"/>
  <c r="R316" i="1"/>
  <c r="T316" i="1" s="1"/>
  <c r="U316" i="1" s="1"/>
  <c r="Q316" i="1"/>
  <c r="R317" i="1"/>
  <c r="R318" i="1"/>
  <c r="Q319" i="1"/>
  <c r="R319" i="1"/>
  <c r="T319" i="1" s="1"/>
  <c r="U319" i="1" s="1"/>
  <c r="R320" i="1"/>
  <c r="T320" i="1" s="1"/>
  <c r="U320" i="1" s="1"/>
  <c r="Q320" i="1"/>
  <c r="R321" i="1"/>
  <c r="R322" i="1"/>
  <c r="Q323" i="1"/>
  <c r="R323" i="1"/>
  <c r="T323" i="1"/>
  <c r="U323" i="1" s="1"/>
  <c r="R324" i="1"/>
  <c r="Q324" i="1"/>
  <c r="R325" i="1"/>
  <c r="R326" i="1"/>
  <c r="Q327" i="1"/>
  <c r="R327" i="1"/>
  <c r="T327" i="1" s="1"/>
  <c r="U327" i="1"/>
  <c r="R328" i="1"/>
  <c r="T328" i="1" s="1"/>
  <c r="U328" i="1" s="1"/>
  <c r="R329" i="1"/>
  <c r="R330" i="1"/>
  <c r="Q331" i="1"/>
  <c r="R331" i="1"/>
  <c r="T331" i="1" s="1"/>
  <c r="U331" i="1" s="1"/>
  <c r="R332" i="1"/>
  <c r="T332" i="1" s="1"/>
  <c r="U332" i="1" s="1"/>
  <c r="Q332" i="1"/>
  <c r="R333" i="1"/>
  <c r="R334" i="1"/>
  <c r="Q335" i="1"/>
  <c r="R335" i="1"/>
  <c r="T335" i="1"/>
  <c r="U335" i="1" s="1"/>
  <c r="R336" i="1"/>
  <c r="Q336" i="1"/>
  <c r="R337" i="1"/>
  <c r="R23" i="1"/>
  <c r="T23" i="1" s="1"/>
  <c r="U23" i="1" s="1"/>
  <c r="Q23" i="1"/>
  <c r="R24" i="1"/>
  <c r="T24" i="1" s="1"/>
  <c r="U24" i="1" s="1"/>
  <c r="Q24" i="1"/>
  <c r="Q25" i="1"/>
  <c r="R25" i="1"/>
  <c r="R26" i="1"/>
  <c r="R27" i="1"/>
  <c r="T27" i="1" s="1"/>
  <c r="U27" i="1" s="1"/>
  <c r="Q27" i="1"/>
  <c r="R28" i="1"/>
  <c r="Q28" i="1"/>
  <c r="R29" i="1"/>
  <c r="R30" i="1"/>
  <c r="R31" i="1"/>
  <c r="T31" i="1" s="1"/>
  <c r="U31" i="1" s="1"/>
  <c r="R32" i="1"/>
  <c r="T32" i="1" s="1"/>
  <c r="U32" i="1" s="1"/>
  <c r="Q32" i="1"/>
  <c r="R33" i="1"/>
  <c r="R34" i="1"/>
  <c r="R35" i="1"/>
  <c r="T35" i="1" s="1"/>
  <c r="U35" i="1" s="1"/>
  <c r="Q35" i="1"/>
  <c r="R36" i="1"/>
  <c r="T36" i="1" s="1"/>
  <c r="U36" i="1" s="1"/>
  <c r="R2" i="1"/>
  <c r="R3" i="1"/>
  <c r="T3" i="1" s="1"/>
  <c r="U3" i="1" s="1"/>
  <c r="R4" i="1"/>
  <c r="T4" i="1" s="1"/>
  <c r="U4" i="1" s="1"/>
  <c r="R5" i="1"/>
  <c r="R6" i="1"/>
  <c r="R7" i="1"/>
  <c r="T7" i="1" s="1"/>
  <c r="U7" i="1" s="1"/>
  <c r="R8" i="1"/>
  <c r="T8" i="1" s="1"/>
  <c r="U8" i="1" s="1"/>
  <c r="R9" i="1"/>
  <c r="R10" i="1"/>
  <c r="R11" i="1"/>
  <c r="T11" i="1" s="1"/>
  <c r="U11" i="1" s="1"/>
  <c r="R12" i="1"/>
  <c r="T12" i="1" s="1"/>
  <c r="U12" i="1" s="1"/>
  <c r="R13" i="1"/>
  <c r="R14" i="1"/>
  <c r="R15" i="1"/>
  <c r="T15" i="1" s="1"/>
  <c r="U15" i="1" s="1"/>
  <c r="R16" i="1"/>
  <c r="T16" i="1" s="1"/>
  <c r="U16" i="1" s="1"/>
  <c r="R17" i="1"/>
  <c r="R18" i="1"/>
  <c r="R19" i="1"/>
  <c r="T19" i="1" s="1"/>
  <c r="U19" i="1" s="1"/>
  <c r="R20" i="1"/>
  <c r="T20" i="1" s="1"/>
  <c r="U20" i="1" s="1"/>
  <c r="R21" i="1"/>
  <c r="R22" i="1"/>
  <c r="Q3" i="1"/>
  <c r="Q4" i="1"/>
  <c r="Q7" i="1"/>
  <c r="Q8" i="1"/>
  <c r="Q11" i="1"/>
  <c r="Q12" i="1"/>
  <c r="Q15" i="1"/>
  <c r="Q16" i="1"/>
  <c r="Q19" i="1"/>
  <c r="Q20" i="1"/>
  <c r="T30" i="1" l="1"/>
  <c r="U30" i="1" s="1"/>
  <c r="T61" i="1"/>
  <c r="U61" i="1" s="1"/>
  <c r="T253" i="1"/>
  <c r="U253" i="1" s="1"/>
  <c r="T13" i="1"/>
  <c r="U13" i="1" s="1"/>
  <c r="T9" i="1"/>
  <c r="U9" i="1" s="1"/>
  <c r="T5" i="1"/>
  <c r="U5" i="1" s="1"/>
  <c r="T28" i="1"/>
  <c r="U28" i="1" s="1"/>
  <c r="T25" i="1"/>
  <c r="U25" i="1" s="1"/>
  <c r="T336" i="1"/>
  <c r="U336" i="1" s="1"/>
  <c r="T324" i="1"/>
  <c r="U324" i="1" s="1"/>
  <c r="T308" i="1"/>
  <c r="U308" i="1" s="1"/>
  <c r="T232" i="1"/>
  <c r="U232" i="1" s="1"/>
  <c r="T216" i="1"/>
  <c r="U216" i="1" s="1"/>
  <c r="T208" i="1"/>
  <c r="U208" i="1" s="1"/>
  <c r="T200" i="1"/>
  <c r="U200" i="1" s="1"/>
  <c r="T197" i="1"/>
  <c r="U197" i="1" s="1"/>
  <c r="T168" i="1"/>
  <c r="U168" i="1" s="1"/>
  <c r="T160" i="1"/>
  <c r="U160" i="1" s="1"/>
  <c r="T125" i="1"/>
  <c r="U125" i="1" s="1"/>
  <c r="T120" i="1"/>
  <c r="U120" i="1" s="1"/>
  <c r="T104" i="1"/>
  <c r="U104" i="1" s="1"/>
  <c r="T101" i="1"/>
  <c r="U101" i="1" s="1"/>
  <c r="T80" i="1"/>
  <c r="U80" i="1" s="1"/>
  <c r="Q61" i="1"/>
  <c r="T56" i="1"/>
  <c r="U56" i="1" s="1"/>
  <c r="T48" i="1"/>
  <c r="U48" i="1" s="1"/>
  <c r="T40" i="1"/>
  <c r="U40" i="1" s="1"/>
  <c r="T213" i="1"/>
  <c r="U213" i="1" s="1"/>
  <c r="T10" i="1"/>
  <c r="U10" i="1" s="1"/>
  <c r="T313" i="1"/>
  <c r="U313" i="1" s="1"/>
  <c r="T217" i="1"/>
  <c r="U217" i="1" s="1"/>
  <c r="T78" i="1"/>
  <c r="U78" i="1" s="1"/>
  <c r="T262" i="1"/>
  <c r="U262" i="1" s="1"/>
  <c r="T258" i="1"/>
  <c r="U258" i="1" s="1"/>
  <c r="T234" i="1"/>
  <c r="U234" i="1" s="1"/>
  <c r="T290" i="1"/>
  <c r="U290" i="1" s="1"/>
  <c r="T254" i="1"/>
  <c r="U254" i="1" s="1"/>
  <c r="T2" i="1"/>
  <c r="U2" i="1" s="1"/>
  <c r="Q258" i="1"/>
  <c r="T162" i="1"/>
  <c r="U162" i="1" s="1"/>
  <c r="T249" i="1"/>
  <c r="U249" i="1" s="1"/>
  <c r="T233" i="1"/>
  <c r="U233" i="1" s="1"/>
  <c r="T221" i="1"/>
  <c r="U221" i="1" s="1"/>
  <c r="T209" i="1"/>
  <c r="U209" i="1" s="1"/>
  <c r="T201" i="1"/>
  <c r="U201" i="1" s="1"/>
  <c r="T189" i="1"/>
  <c r="U189" i="1" s="1"/>
  <c r="T181" i="1"/>
  <c r="U181" i="1" s="1"/>
  <c r="T177" i="1"/>
  <c r="U177" i="1" s="1"/>
  <c r="T169" i="1"/>
  <c r="U169" i="1" s="1"/>
  <c r="T157" i="1"/>
  <c r="U157" i="1" s="1"/>
  <c r="T149" i="1"/>
  <c r="U149" i="1" s="1"/>
  <c r="T141" i="1"/>
  <c r="U141" i="1" s="1"/>
  <c r="T53" i="1"/>
  <c r="U53" i="1" s="1"/>
  <c r="T21" i="1"/>
  <c r="U21" i="1" s="1"/>
  <c r="T22" i="1"/>
  <c r="U22" i="1" s="1"/>
  <c r="T18" i="1"/>
  <c r="U18" i="1" s="1"/>
  <c r="T14" i="1"/>
  <c r="U14" i="1" s="1"/>
  <c r="T6" i="1"/>
  <c r="U6" i="1" s="1"/>
  <c r="T33" i="1"/>
  <c r="U33" i="1" s="1"/>
  <c r="T325" i="1"/>
  <c r="U325" i="1" s="1"/>
  <c r="T322" i="1"/>
  <c r="U322" i="1" s="1"/>
  <c r="T281" i="1"/>
  <c r="U281" i="1" s="1"/>
  <c r="T259" i="1"/>
  <c r="U259" i="1" s="1"/>
  <c r="T250" i="1"/>
  <c r="U250" i="1" s="1"/>
  <c r="T235" i="1"/>
  <c r="U235" i="1" s="1"/>
  <c r="T211" i="1"/>
  <c r="U211" i="1" s="1"/>
  <c r="T195" i="1"/>
  <c r="U195" i="1" s="1"/>
  <c r="Q169" i="1"/>
  <c r="Q157" i="1"/>
  <c r="T155" i="1"/>
  <c r="U155" i="1" s="1"/>
  <c r="T107" i="1"/>
  <c r="U107" i="1" s="1"/>
  <c r="T63" i="1"/>
  <c r="U63" i="1" s="1"/>
  <c r="Q178" i="1"/>
  <c r="T178" i="1"/>
  <c r="U178" i="1" s="1"/>
  <c r="T310" i="1"/>
  <c r="U310" i="1" s="1"/>
  <c r="T278" i="1"/>
  <c r="U278" i="1" s="1"/>
  <c r="Q234" i="1"/>
  <c r="T154" i="1"/>
  <c r="U154" i="1" s="1"/>
  <c r="T110" i="1"/>
  <c r="U110" i="1" s="1"/>
  <c r="T94" i="1"/>
  <c r="U94" i="1" s="1"/>
  <c r="T86" i="1"/>
  <c r="U86" i="1" s="1"/>
  <c r="T70" i="1"/>
  <c r="U70" i="1" s="1"/>
  <c r="Q77" i="1"/>
  <c r="T77" i="1"/>
  <c r="U77" i="1" s="1"/>
  <c r="Q69" i="1"/>
  <c r="T69" i="1"/>
  <c r="U69" i="1" s="1"/>
  <c r="Q10" i="1"/>
  <c r="T17" i="1"/>
  <c r="U17" i="1" s="1"/>
  <c r="T29" i="1"/>
  <c r="U29" i="1" s="1"/>
  <c r="T26" i="1"/>
  <c r="U26" i="1" s="1"/>
  <c r="T309" i="1"/>
  <c r="U309" i="1" s="1"/>
  <c r="T306" i="1"/>
  <c r="U306" i="1" s="1"/>
  <c r="T277" i="1"/>
  <c r="U277" i="1" s="1"/>
  <c r="T274" i="1"/>
  <c r="U274" i="1" s="1"/>
  <c r="T257" i="1"/>
  <c r="U257" i="1" s="1"/>
  <c r="T229" i="1"/>
  <c r="U229" i="1" s="1"/>
  <c r="Q213" i="1"/>
  <c r="Q209" i="1"/>
  <c r="Q201" i="1"/>
  <c r="T194" i="1"/>
  <c r="U194" i="1" s="1"/>
  <c r="Q189" i="1"/>
  <c r="T185" i="1"/>
  <c r="U185" i="1" s="1"/>
  <c r="T165" i="1"/>
  <c r="U165" i="1" s="1"/>
  <c r="T133" i="1"/>
  <c r="U133" i="1" s="1"/>
  <c r="T109" i="1"/>
  <c r="U109" i="1" s="1"/>
  <c r="T93" i="1"/>
  <c r="U93" i="1" s="1"/>
  <c r="T85" i="1"/>
  <c r="U85" i="1" s="1"/>
  <c r="Q53" i="1"/>
  <c r="T37" i="1"/>
  <c r="U37" i="1" s="1"/>
  <c r="Q242" i="1"/>
  <c r="T242" i="1"/>
  <c r="U242" i="1" s="1"/>
  <c r="Q210" i="1"/>
  <c r="T210" i="1"/>
  <c r="U210" i="1" s="1"/>
  <c r="Q30" i="1"/>
  <c r="Q262" i="1"/>
  <c r="T218" i="1"/>
  <c r="U218" i="1" s="1"/>
  <c r="Q170" i="1"/>
  <c r="T38" i="1"/>
  <c r="U38" i="1" s="1"/>
  <c r="Q261" i="1"/>
  <c r="T261" i="1"/>
  <c r="U261" i="1" s="1"/>
  <c r="Q21" i="1"/>
  <c r="Q34" i="1"/>
  <c r="T337" i="1"/>
  <c r="U337" i="1" s="1"/>
  <c r="T329" i="1"/>
  <c r="U329" i="1" s="1"/>
  <c r="T326" i="1"/>
  <c r="U326" i="1" s="1"/>
  <c r="T297" i="1"/>
  <c r="U297" i="1" s="1"/>
  <c r="T294" i="1"/>
  <c r="U294" i="1" s="1"/>
  <c r="T265" i="1"/>
  <c r="U265" i="1" s="1"/>
  <c r="T246" i="1"/>
  <c r="U246" i="1" s="1"/>
  <c r="T237" i="1"/>
  <c r="U237" i="1" s="1"/>
  <c r="T225" i="1"/>
  <c r="U225" i="1" s="1"/>
  <c r="Q202" i="1"/>
  <c r="T186" i="1"/>
  <c r="U186" i="1" s="1"/>
  <c r="T173" i="1"/>
  <c r="U173" i="1" s="1"/>
  <c r="T161" i="1"/>
  <c r="U161" i="1" s="1"/>
  <c r="Q141" i="1"/>
  <c r="T333" i="1"/>
  <c r="U333" i="1" s="1"/>
  <c r="T330" i="1"/>
  <c r="U330" i="1" s="1"/>
  <c r="T317" i="1"/>
  <c r="U317" i="1" s="1"/>
  <c r="T314" i="1"/>
  <c r="U314" i="1" s="1"/>
  <c r="T301" i="1"/>
  <c r="U301" i="1" s="1"/>
  <c r="T298" i="1"/>
  <c r="U298" i="1" s="1"/>
  <c r="T285" i="1"/>
  <c r="U285" i="1" s="1"/>
  <c r="T282" i="1"/>
  <c r="U282" i="1" s="1"/>
  <c r="T269" i="1"/>
  <c r="U269" i="1" s="1"/>
  <c r="T266" i="1"/>
  <c r="U266" i="1" s="1"/>
  <c r="T142" i="1"/>
  <c r="U142" i="1" s="1"/>
  <c r="T62" i="1"/>
  <c r="U62" i="1" s="1"/>
  <c r="T54" i="1"/>
  <c r="U54" i="1" s="1"/>
  <c r="T334" i="1"/>
  <c r="U334" i="1" s="1"/>
  <c r="T321" i="1"/>
  <c r="U321" i="1" s="1"/>
  <c r="T318" i="1"/>
  <c r="U318" i="1" s="1"/>
  <c r="T305" i="1"/>
  <c r="U305" i="1" s="1"/>
  <c r="T302" i="1"/>
  <c r="U302" i="1" s="1"/>
  <c r="T289" i="1"/>
  <c r="U289" i="1" s="1"/>
  <c r="T286" i="1"/>
  <c r="U286" i="1" s="1"/>
  <c r="T273" i="1"/>
  <c r="U273" i="1" s="1"/>
  <c r="T270" i="1"/>
  <c r="U270" i="1" s="1"/>
  <c r="T134" i="1"/>
  <c r="U134" i="1" s="1"/>
  <c r="T126" i="1"/>
  <c r="U126" i="1" s="1"/>
  <c r="T118" i="1"/>
  <c r="U118" i="1" s="1"/>
  <c r="T102" i="1"/>
  <c r="U102" i="1" s="1"/>
  <c r="T46" i="1"/>
  <c r="U46" i="1" s="1"/>
  <c r="Q113" i="1"/>
  <c r="T113" i="1"/>
  <c r="U113" i="1" s="1"/>
  <c r="Q89" i="1"/>
  <c r="T89" i="1"/>
  <c r="U89" i="1" s="1"/>
  <c r="Q73" i="1"/>
  <c r="T73" i="1"/>
  <c r="U73" i="1" s="1"/>
  <c r="Q41" i="1"/>
  <c r="T41" i="1"/>
  <c r="U41" i="1" s="1"/>
  <c r="T263" i="1"/>
  <c r="U263" i="1" s="1"/>
  <c r="Q249" i="1"/>
  <c r="T247" i="1"/>
  <c r="U247" i="1" s="1"/>
  <c r="T239" i="1"/>
  <c r="U239" i="1" s="1"/>
  <c r="T231" i="1"/>
  <c r="U231" i="1" s="1"/>
  <c r="T223" i="1"/>
  <c r="U223" i="1" s="1"/>
  <c r="T215" i="1"/>
  <c r="U215" i="1" s="1"/>
  <c r="T207" i="1"/>
  <c r="U207" i="1" s="1"/>
  <c r="T199" i="1"/>
  <c r="U199" i="1" s="1"/>
  <c r="T191" i="1"/>
  <c r="U191" i="1" s="1"/>
  <c r="T183" i="1"/>
  <c r="U183" i="1" s="1"/>
  <c r="T175" i="1"/>
  <c r="U175" i="1" s="1"/>
  <c r="T167" i="1"/>
  <c r="U167" i="1" s="1"/>
  <c r="T159" i="1"/>
  <c r="U159" i="1" s="1"/>
  <c r="T151" i="1"/>
  <c r="U151" i="1" s="1"/>
  <c r="Q105" i="1"/>
  <c r="T105" i="1"/>
  <c r="U105" i="1" s="1"/>
  <c r="T251" i="1"/>
  <c r="U251" i="1" s="1"/>
  <c r="Q145" i="1"/>
  <c r="T145" i="1"/>
  <c r="U145" i="1" s="1"/>
  <c r="Q129" i="1"/>
  <c r="T129" i="1"/>
  <c r="U129" i="1" s="1"/>
  <c r="Q57" i="1"/>
  <c r="T57" i="1"/>
  <c r="U57" i="1" s="1"/>
  <c r="T238" i="1"/>
  <c r="U238" i="1" s="1"/>
  <c r="T230" i="1"/>
  <c r="U230" i="1" s="1"/>
  <c r="T222" i="1"/>
  <c r="U222" i="1" s="1"/>
  <c r="T214" i="1"/>
  <c r="U214" i="1" s="1"/>
  <c r="T206" i="1"/>
  <c r="U206" i="1" s="1"/>
  <c r="T198" i="1"/>
  <c r="U198" i="1" s="1"/>
  <c r="T190" i="1"/>
  <c r="U190" i="1" s="1"/>
  <c r="T182" i="1"/>
  <c r="U182" i="1" s="1"/>
  <c r="T174" i="1"/>
  <c r="U174" i="1" s="1"/>
  <c r="T166" i="1"/>
  <c r="U166" i="1" s="1"/>
  <c r="T158" i="1"/>
  <c r="U158" i="1" s="1"/>
  <c r="T150" i="1"/>
  <c r="U150" i="1" s="1"/>
  <c r="Q137" i="1"/>
  <c r="T137" i="1"/>
  <c r="U137" i="1" s="1"/>
  <c r="Q121" i="1"/>
  <c r="T121" i="1"/>
  <c r="U121" i="1" s="1"/>
  <c r="Q97" i="1"/>
  <c r="T97" i="1"/>
  <c r="U97" i="1" s="1"/>
  <c r="Q81" i="1"/>
  <c r="T81" i="1"/>
  <c r="U81" i="1" s="1"/>
  <c r="Q65" i="1"/>
  <c r="T65" i="1"/>
  <c r="U65" i="1" s="1"/>
  <c r="Q49" i="1"/>
  <c r="T49" i="1"/>
  <c r="U49" i="1" s="1"/>
  <c r="T146" i="1"/>
  <c r="U146" i="1" s="1"/>
  <c r="T138" i="1"/>
  <c r="U138" i="1" s="1"/>
  <c r="T130" i="1"/>
  <c r="U130" i="1" s="1"/>
  <c r="T122" i="1"/>
  <c r="U122" i="1" s="1"/>
  <c r="T114" i="1"/>
  <c r="U114" i="1" s="1"/>
  <c r="T106" i="1"/>
  <c r="U106" i="1" s="1"/>
  <c r="T98" i="1"/>
  <c r="U98" i="1" s="1"/>
  <c r="T90" i="1"/>
  <c r="U90" i="1" s="1"/>
  <c r="T82" i="1"/>
  <c r="U82" i="1" s="1"/>
  <c r="T74" i="1"/>
  <c r="U74" i="1" s="1"/>
  <c r="T66" i="1"/>
  <c r="U66" i="1" s="1"/>
  <c r="T58" i="1"/>
  <c r="U58" i="1" s="1"/>
  <c r="T50" i="1"/>
  <c r="U50" i="1" s="1"/>
  <c r="T42" i="1"/>
  <c r="U42" i="1" s="1"/>
</calcChain>
</file>

<file path=xl/sharedStrings.xml><?xml version="1.0" encoding="utf-8"?>
<sst xmlns="http://schemas.openxmlformats.org/spreadsheetml/2006/main" count="1483" uniqueCount="28">
  <si>
    <t>Platte</t>
  </si>
  <si>
    <t>Last</t>
  </si>
  <si>
    <t>Lasteinleitung</t>
  </si>
  <si>
    <t>h</t>
  </si>
  <si>
    <t>d</t>
  </si>
  <si>
    <t>Stütze</t>
  </si>
  <si>
    <t>c1</t>
  </si>
  <si>
    <t>c2</t>
  </si>
  <si>
    <t>rho_l</t>
  </si>
  <si>
    <t>fcm,cyl</t>
  </si>
  <si>
    <t>dg</t>
  </si>
  <si>
    <t>fym</t>
  </si>
  <si>
    <t>Esm</t>
  </si>
  <si>
    <t>V_test</t>
  </si>
  <si>
    <t>k</t>
  </si>
  <si>
    <t>-</t>
  </si>
  <si>
    <t>qs</t>
  </si>
  <si>
    <t>q</t>
  </si>
  <si>
    <t>qa</t>
  </si>
  <si>
    <t>o</t>
  </si>
  <si>
    <t>r</t>
  </si>
  <si>
    <t>S.115 EC</t>
  </si>
  <si>
    <t>beta</t>
  </si>
  <si>
    <t>v_Rd</t>
  </si>
  <si>
    <t>V_Rd</t>
  </si>
  <si>
    <t>v_test</t>
  </si>
  <si>
    <t>SF</t>
  </si>
  <si>
    <t>Fläche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</si>
</sst>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2" fontId="0" fillId="0" borderId="0" xfId="0" applyNumberFormat="1" applyFill="1"/>
    <xf numFmtId="0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34</xdr:col>
      <xdr:colOff>54266</xdr:colOff>
      <xdr:row>12</xdr:row>
      <xdr:rowOff>170095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2996BA5-41D0-4640-A088-FC68EF387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06450" y="0"/>
          <a:ext cx="6112166" cy="234179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161301</xdr:rowOff>
    </xdr:from>
    <xdr:to>
      <xdr:col>34</xdr:col>
      <xdr:colOff>31854</xdr:colOff>
      <xdr:row>25</xdr:row>
      <xdr:rowOff>74369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E70F53A-3DD2-4DB2-A383-2C50503D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06450" y="2513976"/>
          <a:ext cx="6089754" cy="20847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4116-68CF-49EF-9E17-0C75CB042230}">
  <dimension ref="A1:AK337"/>
  <sheetViews>
    <sheetView tabSelected="1" zoomScaleNormal="100" workbookViewId="0">
      <selection activeCell="I2" sqref="I2:I337"/>
    </sheetView>
  </sheetViews>
  <sheetFormatPr baseColWidth="10" defaultColWidth="10.9296875" defaultRowHeight="14.25" x14ac:dyDescent="0.45"/>
  <cols>
    <col min="1" max="1" width="5.796875" bestFit="1" customWidth="1"/>
    <col min="2" max="2" width="4.265625" bestFit="1" customWidth="1"/>
    <col min="3" max="3" width="7.265625" customWidth="1"/>
    <col min="6" max="6" width="6" bestFit="1" customWidth="1"/>
    <col min="7" max="8" width="5.46484375" bestFit="1" customWidth="1"/>
    <col min="9" max="9" width="10.1328125" customWidth="1"/>
    <col min="10" max="10" width="5.19921875" bestFit="1" customWidth="1"/>
    <col min="11" max="11" width="8.53125" bestFit="1" customWidth="1"/>
    <col min="12" max="12" width="5.46484375" bestFit="1" customWidth="1"/>
    <col min="13" max="13" width="8.53125" bestFit="1" customWidth="1"/>
    <col min="14" max="14" width="9" bestFit="1" customWidth="1"/>
    <col min="15" max="15" width="6.19921875" bestFit="1" customWidth="1"/>
    <col min="16" max="16" width="6.19921875" style="2" customWidth="1"/>
    <col min="17" max="17" width="11.73046875" style="2" customWidth="1"/>
    <col min="18" max="18" width="11.59765625" style="2" bestFit="1" customWidth="1"/>
    <col min="19" max="19" width="6.9296875" style="2" bestFit="1" customWidth="1"/>
    <col min="20" max="20" width="5.59765625" style="2" bestFit="1" customWidth="1"/>
    <col min="21" max="21" width="5.46484375" style="2" bestFit="1" customWidth="1"/>
    <col min="22" max="22" width="10.06640625" style="2" bestFit="1" customWidth="1"/>
    <col min="23" max="23" width="10.53125" style="2" bestFit="1" customWidth="1"/>
    <col min="24" max="24" width="9.265625" style="2" bestFit="1" customWidth="1"/>
    <col min="25" max="25" width="9.265625" style="2" customWidth="1"/>
    <col min="26" max="37" width="10.59765625" style="2"/>
  </cols>
  <sheetData>
    <row r="1" spans="1:3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Q1" s="2" t="s">
        <v>25</v>
      </c>
      <c r="R1" s="2" t="s">
        <v>23</v>
      </c>
      <c r="S1" s="2" t="s">
        <v>22</v>
      </c>
      <c r="T1" s="2" t="s">
        <v>24</v>
      </c>
      <c r="U1" s="2" t="s">
        <v>26</v>
      </c>
    </row>
    <row r="2" spans="1:33" x14ac:dyDescent="0.45">
      <c r="A2" t="s">
        <v>14</v>
      </c>
      <c r="B2" t="s">
        <v>14</v>
      </c>
      <c r="C2" s="1">
        <v>2.4</v>
      </c>
      <c r="D2">
        <v>240</v>
      </c>
      <c r="E2">
        <v>200</v>
      </c>
      <c r="F2" t="s">
        <v>14</v>
      </c>
      <c r="G2">
        <v>250</v>
      </c>
      <c r="H2" t="s">
        <v>15</v>
      </c>
      <c r="I2">
        <f>IF(F2="k",G2^2*PI()/4,IF(F2="q",G2^2,G2*H2))</f>
        <v>49087.385212340516</v>
      </c>
      <c r="J2">
        <v>0.8</v>
      </c>
      <c r="K2">
        <v>89.1</v>
      </c>
      <c r="L2">
        <v>18</v>
      </c>
      <c r="M2">
        <v>643</v>
      </c>
      <c r="N2">
        <v>195</v>
      </c>
      <c r="O2">
        <v>0.96499999999999997</v>
      </c>
      <c r="Q2" s="5">
        <f>O2/S2*10^6</f>
        <v>1.6821161723450557</v>
      </c>
      <c r="R2" s="2">
        <f>(0.18/1.5*MIN((1+SQRT(200/E2)),2)*(MIN(J2,2)*(K2-8))^(1/3))</f>
        <v>0.96437998598621399</v>
      </c>
      <c r="S2" s="2">
        <f>E2/1.15*IF(F2="k",(G2+4*E2)*PI(),IF(F2="q",4*G2+4*E2*PI(),2*G2+2*H2+4*E2*PI()))</f>
        <v>573682.13674248394</v>
      </c>
      <c r="T2" s="2">
        <f>R2*S2/10^6</f>
        <v>0.55324757099225796</v>
      </c>
      <c r="U2" s="4">
        <f>O2/T2</f>
        <v>1.7442462481475658</v>
      </c>
      <c r="V2" s="4"/>
      <c r="W2" s="4"/>
      <c r="X2" s="3"/>
      <c r="Y2" s="3"/>
      <c r="AB2" s="3"/>
      <c r="AF2" s="3"/>
      <c r="AG2" s="3"/>
    </row>
    <row r="3" spans="1:33" x14ac:dyDescent="0.45">
      <c r="A3" t="s">
        <v>14</v>
      </c>
      <c r="B3" t="s">
        <v>14</v>
      </c>
      <c r="C3" s="1">
        <v>2.4</v>
      </c>
      <c r="D3">
        <v>245</v>
      </c>
      <c r="E3">
        <v>200</v>
      </c>
      <c r="F3" t="s">
        <v>14</v>
      </c>
      <c r="G3">
        <v>250</v>
      </c>
      <c r="H3" t="s">
        <v>15</v>
      </c>
      <c r="I3">
        <f t="shared" ref="I3:I66" si="0">IF(F3="k",G3^2*PI()/4,IF(F3="q",G3^2,G3*H3))</f>
        <v>49087.385212340516</v>
      </c>
      <c r="J3">
        <v>0.8</v>
      </c>
      <c r="K3">
        <v>91.3</v>
      </c>
      <c r="L3">
        <v>18</v>
      </c>
      <c r="M3">
        <v>627</v>
      </c>
      <c r="N3">
        <v>210</v>
      </c>
      <c r="O3">
        <v>1.0209999999999999</v>
      </c>
      <c r="Q3" s="5">
        <f t="shared" ref="Q3:Q22" si="1">O3/S3*10^6</f>
        <v>1.7797312041080848</v>
      </c>
      <c r="R3" s="2">
        <f>(0.18/1.5*MIN((1+SQRT(200/E3)),2)*(MIN(J3,2)*(K3-8))^(1/3))</f>
        <v>0.97302254834484059</v>
      </c>
      <c r="S3" s="2">
        <f>E3/1.15*IF(F3="k",(G3+4*E3)*PI(),IF(F3="q",4*G3+4*E3*PI(),2*G3+2*H3+4*E3*PI()))</f>
        <v>573682.13674248394</v>
      </c>
      <c r="T3" s="2">
        <f t="shared" ref="T3:T22" si="2">R3*S3/10^6</f>
        <v>0.55820565463308502</v>
      </c>
      <c r="U3" s="4">
        <f t="shared" ref="U3:U22" si="3">O3/T3</f>
        <v>1.829074986119793</v>
      </c>
      <c r="V3" s="4"/>
      <c r="W3" s="4"/>
      <c r="X3" s="3"/>
      <c r="Y3" s="3"/>
      <c r="AB3" s="3"/>
    </row>
    <row r="4" spans="1:33" x14ac:dyDescent="0.45">
      <c r="A4" t="s">
        <v>14</v>
      </c>
      <c r="B4" t="s">
        <v>14</v>
      </c>
      <c r="C4" s="1">
        <v>2.4</v>
      </c>
      <c r="D4">
        <v>240</v>
      </c>
      <c r="E4">
        <v>194</v>
      </c>
      <c r="F4" t="s">
        <v>14</v>
      </c>
      <c r="G4">
        <v>250</v>
      </c>
      <c r="H4" t="s">
        <v>15</v>
      </c>
      <c r="I4">
        <f t="shared" si="0"/>
        <v>49087.385212340516</v>
      </c>
      <c r="J4">
        <v>0.82</v>
      </c>
      <c r="K4">
        <v>85.7</v>
      </c>
      <c r="L4">
        <v>18</v>
      </c>
      <c r="M4">
        <v>620</v>
      </c>
      <c r="N4">
        <v>231</v>
      </c>
      <c r="O4">
        <v>0.88900000000000001</v>
      </c>
      <c r="Q4" s="5">
        <f t="shared" si="1"/>
        <v>1.6349355526416185</v>
      </c>
      <c r="R4" s="2">
        <f>(0.18/1.5*MIN((1+SQRT(200/E4)),2)*(MIN(J4,2)*(K4-8))^(1/3))</f>
        <v>0.95856786459174748</v>
      </c>
      <c r="S4" s="2">
        <f>E4/1.15*IF(F4="k",(G4+4*E4)*PI(),IF(F4="q",4*G4+4*E4*PI(),2*G4+2*H4+4*E4*PI()))</f>
        <v>543752.32012271904</v>
      </c>
      <c r="T4" s="2">
        <f t="shared" si="2"/>
        <v>0.52122350036684306</v>
      </c>
      <c r="U4" s="4">
        <f t="shared" si="3"/>
        <v>1.7056022980051968</v>
      </c>
      <c r="V4" s="4"/>
      <c r="W4" s="4"/>
      <c r="X4" s="3"/>
      <c r="Y4" s="3"/>
      <c r="AB4" s="3"/>
    </row>
    <row r="5" spans="1:33" x14ac:dyDescent="0.45">
      <c r="A5" t="s">
        <v>14</v>
      </c>
      <c r="B5" t="s">
        <v>14</v>
      </c>
      <c r="C5" s="1">
        <v>2.4</v>
      </c>
      <c r="D5">
        <v>240</v>
      </c>
      <c r="E5">
        <v>200</v>
      </c>
      <c r="F5" t="s">
        <v>14</v>
      </c>
      <c r="G5">
        <v>250</v>
      </c>
      <c r="H5" t="s">
        <v>15</v>
      </c>
      <c r="I5">
        <f t="shared" si="0"/>
        <v>49087.385212340516</v>
      </c>
      <c r="J5">
        <v>1.19</v>
      </c>
      <c r="K5">
        <v>91.6</v>
      </c>
      <c r="L5">
        <v>18</v>
      </c>
      <c r="M5">
        <v>596</v>
      </c>
      <c r="N5">
        <v>195</v>
      </c>
      <c r="O5">
        <v>1.0409999999999999</v>
      </c>
      <c r="Q5" s="5">
        <f t="shared" si="1"/>
        <v>1.814593715452024</v>
      </c>
      <c r="R5" s="2">
        <f>(0.18/1.5*MIN((1+SQRT(200/E5)),2)*(MIN(J5,2)*(K5-8))^(1/3))</f>
        <v>1.1120619671141982</v>
      </c>
      <c r="S5" s="2">
        <f>E5/1.15*IF(F5="k",(G5+4*E5)*PI(),IF(F5="q",4*G5+4*E5*PI(),2*G5+2*H5+4*E5*PI()))</f>
        <v>573682.13674248394</v>
      </c>
      <c r="T5" s="2">
        <f t="shared" si="2"/>
        <v>0.63797008548412326</v>
      </c>
      <c r="U5" s="4">
        <f t="shared" si="3"/>
        <v>1.631737950863382</v>
      </c>
      <c r="V5" s="4"/>
      <c r="W5" s="4"/>
      <c r="X5" s="3"/>
      <c r="Y5" s="3"/>
      <c r="AB5" s="3"/>
    </row>
    <row r="6" spans="1:33" x14ac:dyDescent="0.45">
      <c r="A6" t="s">
        <v>14</v>
      </c>
      <c r="B6" t="s">
        <v>14</v>
      </c>
      <c r="C6" s="1">
        <v>2.4</v>
      </c>
      <c r="D6">
        <v>239</v>
      </c>
      <c r="E6">
        <v>201</v>
      </c>
      <c r="F6" t="s">
        <v>14</v>
      </c>
      <c r="G6">
        <v>250</v>
      </c>
      <c r="H6" t="s">
        <v>15</v>
      </c>
      <c r="I6">
        <f t="shared" si="0"/>
        <v>49087.385212340516</v>
      </c>
      <c r="J6">
        <v>0.6</v>
      </c>
      <c r="K6">
        <v>108.8</v>
      </c>
      <c r="L6">
        <v>18</v>
      </c>
      <c r="M6">
        <v>633</v>
      </c>
      <c r="N6">
        <v>210</v>
      </c>
      <c r="O6">
        <v>0.96</v>
      </c>
      <c r="Q6" s="5">
        <f t="shared" si="1"/>
        <v>1.6587560978169158</v>
      </c>
      <c r="R6" s="2">
        <f>(0.18/1.5*MIN((1+SQRT(200/E6)),2)*(MIN(J6,2)*(K6-8))^(1/3))</f>
        <v>0.94089391108255505</v>
      </c>
      <c r="S6" s="2">
        <f>E6/1.15*IF(F6="k",(G6+4*E6)*PI(),IF(F6="q",4*G6+4*E6*PI(),2*G6+2*H6+4*E6*PI()))</f>
        <v>578746.93046401045</v>
      </c>
      <c r="T6" s="2">
        <f t="shared" si="2"/>
        <v>0.54453946293130628</v>
      </c>
      <c r="U6" s="4">
        <f t="shared" si="3"/>
        <v>1.7629576281436632</v>
      </c>
      <c r="V6" s="4"/>
      <c r="W6" s="4"/>
      <c r="X6" s="3"/>
      <c r="Y6" s="3"/>
      <c r="AB6" s="3"/>
    </row>
    <row r="7" spans="1:33" x14ac:dyDescent="0.45">
      <c r="A7" t="s">
        <v>14</v>
      </c>
      <c r="B7" t="s">
        <v>14</v>
      </c>
      <c r="C7" s="1">
        <v>2.4</v>
      </c>
      <c r="D7">
        <v>242</v>
      </c>
      <c r="E7">
        <v>198</v>
      </c>
      <c r="F7" t="s">
        <v>14</v>
      </c>
      <c r="G7">
        <v>250</v>
      </c>
      <c r="H7" t="s">
        <v>15</v>
      </c>
      <c r="I7">
        <f t="shared" si="0"/>
        <v>49087.385212340516</v>
      </c>
      <c r="J7">
        <v>0.8</v>
      </c>
      <c r="K7">
        <v>94.9</v>
      </c>
      <c r="L7">
        <v>18</v>
      </c>
      <c r="M7">
        <v>631</v>
      </c>
      <c r="N7">
        <v>213</v>
      </c>
      <c r="O7">
        <v>0.94399999999999995</v>
      </c>
      <c r="Q7" s="5">
        <f t="shared" si="1"/>
        <v>1.674892943063665</v>
      </c>
      <c r="R7" s="2">
        <f>(0.18/1.5*MIN((1+SQRT(200/E7)),2)*(MIN(J7,2)*(K7-8))^(1/3))</f>
        <v>0.98684246522597396</v>
      </c>
      <c r="S7" s="2">
        <f>E7/1.15*IF(F7="k",(G7+4*E7)*PI(),IF(F7="q",4*G7+4*E7*PI(),2*G7+2*H7+4*E7*PI()))</f>
        <v>563618.11297220155</v>
      </c>
      <c r="T7" s="2">
        <f t="shared" si="2"/>
        <v>0.55620228805149885</v>
      </c>
      <c r="U7" s="4">
        <f t="shared" si="3"/>
        <v>1.6972242298877327</v>
      </c>
      <c r="V7" s="4"/>
      <c r="W7" s="4"/>
      <c r="X7" s="3"/>
      <c r="Y7" s="3"/>
      <c r="AB7" s="3"/>
    </row>
    <row r="8" spans="1:33" x14ac:dyDescent="0.45">
      <c r="A8" t="s">
        <v>14</v>
      </c>
      <c r="B8" t="s">
        <v>14</v>
      </c>
      <c r="C8" s="1">
        <v>2.4</v>
      </c>
      <c r="D8">
        <v>239</v>
      </c>
      <c r="E8">
        <v>202</v>
      </c>
      <c r="F8" t="s">
        <v>14</v>
      </c>
      <c r="G8">
        <v>250</v>
      </c>
      <c r="H8" t="s">
        <v>15</v>
      </c>
      <c r="I8">
        <f t="shared" si="0"/>
        <v>49087.385212340516</v>
      </c>
      <c r="J8">
        <v>0.33</v>
      </c>
      <c r="K8">
        <v>84.1</v>
      </c>
      <c r="L8">
        <v>18</v>
      </c>
      <c r="M8">
        <v>634</v>
      </c>
      <c r="N8">
        <v>231</v>
      </c>
      <c r="O8">
        <v>0.56499999999999995</v>
      </c>
      <c r="Q8" s="5">
        <f t="shared" si="1"/>
        <v>0.96774152870125763</v>
      </c>
      <c r="R8" s="2">
        <f>(0.18/1.5*MIN((1+SQRT(200/E8)),2)*(MIN(J8,2)*(K8-8))^(1/3))</f>
        <v>0.70107601196666569</v>
      </c>
      <c r="S8" s="2">
        <f>E8/1.15*IF(F8="k",(G8+4*E8)*PI(),IF(F8="q",4*G8+4*E8*PI(),2*G8+2*H8+4*E8*PI()))</f>
        <v>583833.57874312717</v>
      </c>
      <c r="T8" s="2">
        <f t="shared" si="2"/>
        <v>0.40931171703745783</v>
      </c>
      <c r="U8" s="4">
        <f t="shared" si="3"/>
        <v>1.3803660547257053</v>
      </c>
      <c r="V8" s="4"/>
      <c r="W8" s="4"/>
      <c r="X8" s="3"/>
      <c r="Y8" s="3"/>
      <c r="AB8" s="3"/>
    </row>
    <row r="9" spans="1:33" x14ac:dyDescent="0.45">
      <c r="A9" t="s">
        <v>16</v>
      </c>
      <c r="B9" t="s">
        <v>17</v>
      </c>
      <c r="C9" s="1">
        <v>2.5</v>
      </c>
      <c r="D9">
        <v>320</v>
      </c>
      <c r="E9">
        <v>275</v>
      </c>
      <c r="F9" t="s">
        <v>17</v>
      </c>
      <c r="G9">
        <v>200</v>
      </c>
      <c r="H9" t="s">
        <v>15</v>
      </c>
      <c r="I9">
        <f t="shared" si="0"/>
        <v>40000</v>
      </c>
      <c r="J9">
        <v>1.5</v>
      </c>
      <c r="K9">
        <v>67.5</v>
      </c>
      <c r="L9">
        <v>16</v>
      </c>
      <c r="M9">
        <v>500</v>
      </c>
      <c r="O9">
        <v>2.0499999999999998</v>
      </c>
      <c r="Q9" s="5">
        <f t="shared" si="1"/>
        <v>2.0143860441105907</v>
      </c>
      <c r="R9" s="2">
        <f>(0.18/1.5*MIN((1+SQRT(200/E9)),2)*(MIN(J9,2)*(K9-8))^(1/3))</f>
        <v>0.99360370291005473</v>
      </c>
      <c r="S9" s="2">
        <f>E9/1.15*IF(F9="k",(G9+4*E9)*PI(),IF(F9="q",4*G9+4*E9*PI(),2*G9+2*H9+4*E9*PI()))</f>
        <v>1017679.8067051412</v>
      </c>
      <c r="T9" s="2">
        <f t="shared" si="2"/>
        <v>1.0111704243190172</v>
      </c>
      <c r="U9" s="4">
        <f t="shared" si="3"/>
        <v>2.0273536000428343</v>
      </c>
      <c r="V9" s="4"/>
      <c r="W9" s="4"/>
      <c r="X9" s="3"/>
      <c r="Y9" s="3"/>
      <c r="AB9" s="3"/>
    </row>
    <row r="10" spans="1:33" x14ac:dyDescent="0.45">
      <c r="A10" t="s">
        <v>16</v>
      </c>
      <c r="B10" t="s">
        <v>17</v>
      </c>
      <c r="C10" s="1">
        <v>2.2000000000000002</v>
      </c>
      <c r="D10">
        <v>240</v>
      </c>
      <c r="E10">
        <v>200</v>
      </c>
      <c r="F10" t="s">
        <v>17</v>
      </c>
      <c r="G10">
        <v>150</v>
      </c>
      <c r="H10" t="s">
        <v>15</v>
      </c>
      <c r="I10">
        <f t="shared" si="0"/>
        <v>22500</v>
      </c>
      <c r="J10">
        <v>1.7</v>
      </c>
      <c r="K10">
        <v>73.7</v>
      </c>
      <c r="L10">
        <v>16</v>
      </c>
      <c r="M10">
        <v>500</v>
      </c>
      <c r="O10">
        <v>1.2</v>
      </c>
      <c r="Q10" s="5">
        <f t="shared" si="1"/>
        <v>2.2163162406126662</v>
      </c>
      <c r="R10" s="2">
        <f>(0.18/1.5*MIN((1+SQRT(200/E10)),2)*(MIN(J10,2)*(K10-8))^(1/3))</f>
        <v>1.1557999518138038</v>
      </c>
      <c r="S10" s="2">
        <f>E10/1.15*IF(F10="k",(G10+4*E10)*PI(),IF(F10="q",4*G10+4*E10*PI(),2*G10+2*H10+4*E10*PI()))</f>
        <v>541438.97789075389</v>
      </c>
      <c r="T10" s="2">
        <f t="shared" si="2"/>
        <v>0.62579514455624852</v>
      </c>
      <c r="U10" s="4">
        <f t="shared" si="3"/>
        <v>1.9175604196336811</v>
      </c>
      <c r="V10" s="4"/>
      <c r="W10" s="4"/>
      <c r="X10" s="3"/>
      <c r="Y10" s="3"/>
      <c r="AB10" s="3"/>
    </row>
    <row r="11" spans="1:33" x14ac:dyDescent="0.45">
      <c r="A11" t="s">
        <v>16</v>
      </c>
      <c r="B11" t="s">
        <v>17</v>
      </c>
      <c r="C11" s="1">
        <v>2.5</v>
      </c>
      <c r="D11">
        <v>320</v>
      </c>
      <c r="E11">
        <v>275</v>
      </c>
      <c r="F11" t="s">
        <v>17</v>
      </c>
      <c r="G11">
        <v>200</v>
      </c>
      <c r="H11" t="s">
        <v>15</v>
      </c>
      <c r="I11">
        <f t="shared" si="0"/>
        <v>40000</v>
      </c>
      <c r="J11">
        <v>1.5</v>
      </c>
      <c r="K11">
        <v>87.9</v>
      </c>
      <c r="L11">
        <v>16</v>
      </c>
      <c r="M11">
        <v>500</v>
      </c>
      <c r="O11">
        <v>2.25</v>
      </c>
      <c r="Q11" s="5">
        <f t="shared" si="1"/>
        <v>2.2109115118286971</v>
      </c>
      <c r="R11" s="2">
        <f>(0.18/1.5*MIN((1+SQRT(200/E11)),2)*(MIN(J11,2)*(K11-8))^(1/3))</f>
        <v>1.0962000205301412</v>
      </c>
      <c r="S11" s="2">
        <f>E11/1.15*IF(F11="k",(G11+4*E11)*PI(),IF(F11="q",4*G11+4*E11*PI(),2*G11+2*H11+4*E11*PI()))</f>
        <v>1017679.8067051412</v>
      </c>
      <c r="T11" s="2">
        <f t="shared" si="2"/>
        <v>1.115580625003286</v>
      </c>
      <c r="U11" s="4">
        <f t="shared" si="3"/>
        <v>2.0168869461975216</v>
      </c>
      <c r="V11" s="4"/>
      <c r="W11" s="4"/>
      <c r="X11" s="3"/>
      <c r="Y11" s="3"/>
      <c r="AB11" s="3"/>
    </row>
    <row r="12" spans="1:33" x14ac:dyDescent="0.45">
      <c r="A12" t="s">
        <v>16</v>
      </c>
      <c r="B12" t="s">
        <v>17</v>
      </c>
      <c r="C12" s="1">
        <v>2.5</v>
      </c>
      <c r="D12">
        <v>320</v>
      </c>
      <c r="E12">
        <v>275</v>
      </c>
      <c r="F12" t="s">
        <v>17</v>
      </c>
      <c r="G12">
        <v>200</v>
      </c>
      <c r="H12" t="s">
        <v>15</v>
      </c>
      <c r="I12">
        <f t="shared" si="0"/>
        <v>40000</v>
      </c>
      <c r="J12">
        <v>2.5</v>
      </c>
      <c r="K12">
        <v>94.4</v>
      </c>
      <c r="L12">
        <v>16</v>
      </c>
      <c r="M12">
        <v>500</v>
      </c>
      <c r="O12">
        <v>2.4</v>
      </c>
      <c r="Q12" s="5">
        <f t="shared" si="1"/>
        <v>2.358305612617277</v>
      </c>
      <c r="R12" s="2">
        <f>(0.18/1.5*MIN((1+SQRT(200/E12)),2)*(MIN(J12,2)*(K12-8))^(1/3))</f>
        <v>1.2383926691084015</v>
      </c>
      <c r="S12" s="2">
        <f>E12/1.15*IF(F12="k",(G12+4*E12)*PI(),IF(F12="q",4*G12+4*E12*PI(),2*G12+2*H12+4*E12*PI()))</f>
        <v>1017679.8067051412</v>
      </c>
      <c r="T12" s="2">
        <f t="shared" si="2"/>
        <v>1.260287212123302</v>
      </c>
      <c r="U12" s="4">
        <f t="shared" si="3"/>
        <v>1.9043278206056991</v>
      </c>
      <c r="V12" s="4"/>
      <c r="W12" s="4"/>
      <c r="X12" s="3"/>
      <c r="Y12" s="3"/>
      <c r="AB12" s="3"/>
    </row>
    <row r="13" spans="1:33" x14ac:dyDescent="0.45">
      <c r="A13" t="s">
        <v>16</v>
      </c>
      <c r="B13" t="s">
        <v>17</v>
      </c>
      <c r="C13" s="1">
        <v>2.2000000000000002</v>
      </c>
      <c r="D13">
        <v>240</v>
      </c>
      <c r="E13">
        <v>200</v>
      </c>
      <c r="F13" t="s">
        <v>17</v>
      </c>
      <c r="G13">
        <v>150</v>
      </c>
      <c r="H13" t="s">
        <v>15</v>
      </c>
      <c r="I13">
        <f t="shared" si="0"/>
        <v>22500</v>
      </c>
      <c r="J13">
        <v>1.7</v>
      </c>
      <c r="K13">
        <v>92.6</v>
      </c>
      <c r="L13">
        <v>16</v>
      </c>
      <c r="M13">
        <v>500</v>
      </c>
      <c r="O13">
        <v>1.1000000000000001</v>
      </c>
      <c r="Q13" s="5">
        <f t="shared" si="1"/>
        <v>2.0316232205616105</v>
      </c>
      <c r="R13" s="2">
        <f>(0.18/1.5*MIN((1+SQRT(200/E13)),2)*(MIN(J13,2)*(K13-8))^(1/3))</f>
        <v>1.2574315023945226</v>
      </c>
      <c r="S13" s="2">
        <f>E13/1.15*IF(F13="k",(G13+4*E13)*PI(),IF(F13="q",4*G13+4*E13*PI(),2*G13+2*H13+4*E13*PI()))</f>
        <v>541438.97789075389</v>
      </c>
      <c r="T13" s="2">
        <f t="shared" si="2"/>
        <v>0.68082242742412535</v>
      </c>
      <c r="U13" s="4">
        <f t="shared" si="3"/>
        <v>1.6156929555946367</v>
      </c>
      <c r="V13" s="4"/>
      <c r="W13" s="4"/>
      <c r="X13" s="3"/>
      <c r="Y13" s="3"/>
      <c r="AB13" s="3"/>
    </row>
    <row r="14" spans="1:33" x14ac:dyDescent="0.45">
      <c r="A14" t="s">
        <v>16</v>
      </c>
      <c r="B14" t="s">
        <v>17</v>
      </c>
      <c r="C14" s="1">
        <v>2.2000000000000002</v>
      </c>
      <c r="D14">
        <v>240</v>
      </c>
      <c r="E14">
        <v>200</v>
      </c>
      <c r="F14" t="s">
        <v>17</v>
      </c>
      <c r="G14">
        <v>150</v>
      </c>
      <c r="H14" t="s">
        <v>15</v>
      </c>
      <c r="I14">
        <f t="shared" si="0"/>
        <v>22500</v>
      </c>
      <c r="J14">
        <v>1.7</v>
      </c>
      <c r="K14">
        <v>91</v>
      </c>
      <c r="L14">
        <v>16</v>
      </c>
      <c r="M14">
        <v>500</v>
      </c>
      <c r="O14">
        <v>1.3</v>
      </c>
      <c r="Q14" s="5">
        <f t="shared" si="1"/>
        <v>2.4010092606637214</v>
      </c>
      <c r="R14" s="2">
        <f>(0.18/1.5*MIN((1+SQRT(200/E14)),2)*(MIN(J14,2)*(K14-8))^(1/3))</f>
        <v>1.2494539268113298</v>
      </c>
      <c r="S14" s="2">
        <f>E14/1.15*IF(F14="k",(G14+4*E14)*PI(),IF(F14="q",4*G14+4*E14*PI(),2*G14+2*H14+4*E14*PI()))</f>
        <v>541438.97789075389</v>
      </c>
      <c r="T14" s="2">
        <f t="shared" si="2"/>
        <v>0.67650305705431524</v>
      </c>
      <c r="U14" s="4">
        <f t="shared" si="3"/>
        <v>1.9216468964095537</v>
      </c>
      <c r="V14" s="4"/>
      <c r="W14" s="4"/>
      <c r="X14" s="3"/>
      <c r="Y14" s="3"/>
      <c r="AB14" s="3"/>
    </row>
    <row r="15" spans="1:33" x14ac:dyDescent="0.45">
      <c r="A15" t="s">
        <v>16</v>
      </c>
      <c r="B15" t="s">
        <v>17</v>
      </c>
      <c r="C15" s="1">
        <v>2.2000000000000002</v>
      </c>
      <c r="D15">
        <v>240</v>
      </c>
      <c r="E15">
        <v>200</v>
      </c>
      <c r="F15" t="s">
        <v>17</v>
      </c>
      <c r="G15">
        <v>150</v>
      </c>
      <c r="H15" t="s">
        <v>15</v>
      </c>
      <c r="I15">
        <f t="shared" si="0"/>
        <v>22500</v>
      </c>
      <c r="J15">
        <v>2.6</v>
      </c>
      <c r="K15">
        <v>94</v>
      </c>
      <c r="L15">
        <v>16</v>
      </c>
      <c r="M15">
        <v>500</v>
      </c>
      <c r="O15">
        <v>1.45</v>
      </c>
      <c r="Q15" s="5">
        <f t="shared" si="1"/>
        <v>2.6780487907403043</v>
      </c>
      <c r="R15" s="2">
        <f>(0.18/1.5*MIN((1+SQRT(200/E15)),2)*(MIN(J15,2)*(K15-8))^(1/3))</f>
        <v>1.3347114639650963</v>
      </c>
      <c r="S15" s="2">
        <f>E15/1.15*IF(F15="k",(G15+4*E15)*PI(),IF(F15="q",4*G15+4*E15*PI(),2*G15+2*H15+4*E15*PI()))</f>
        <v>541438.97789075389</v>
      </c>
      <c r="T15" s="2">
        <f t="shared" si="2"/>
        <v>0.72266481082833345</v>
      </c>
      <c r="U15" s="4">
        <f t="shared" si="3"/>
        <v>2.0064627172561229</v>
      </c>
      <c r="V15" s="4"/>
      <c r="W15" s="4"/>
      <c r="X15" s="3"/>
      <c r="Y15" s="3"/>
      <c r="AB15" s="3"/>
    </row>
    <row r="16" spans="1:33" x14ac:dyDescent="0.45">
      <c r="A16" t="s">
        <v>16</v>
      </c>
      <c r="B16" t="s">
        <v>17</v>
      </c>
      <c r="C16" s="1">
        <v>2.2000000000000002</v>
      </c>
      <c r="D16">
        <v>240</v>
      </c>
      <c r="E16">
        <v>200</v>
      </c>
      <c r="F16" t="s">
        <v>17</v>
      </c>
      <c r="G16">
        <v>150</v>
      </c>
      <c r="H16" t="s">
        <v>15</v>
      </c>
      <c r="I16">
        <f t="shared" si="0"/>
        <v>22500</v>
      </c>
      <c r="J16">
        <v>2.6</v>
      </c>
      <c r="K16">
        <v>84.3</v>
      </c>
      <c r="L16">
        <v>16</v>
      </c>
      <c r="M16">
        <v>500</v>
      </c>
      <c r="O16">
        <v>1.25</v>
      </c>
      <c r="Q16" s="5">
        <f t="shared" si="1"/>
        <v>2.3086627506381938</v>
      </c>
      <c r="R16" s="2">
        <f>(0.18/1.5*MIN((1+SQRT(200/E16)),2)*(MIN(J16,2)*(K16-8))^(1/3))</f>
        <v>1.2825158850328904</v>
      </c>
      <c r="S16" s="2">
        <f>E16/1.15*IF(F16="k",(G16+4*E16)*PI(),IF(F16="q",4*G16+4*E16*PI(),2*G16+2*H16+4*E16*PI()))</f>
        <v>541438.97789075389</v>
      </c>
      <c r="T16" s="2">
        <f t="shared" si="2"/>
        <v>0.69440408992086378</v>
      </c>
      <c r="U16" s="4">
        <f t="shared" si="3"/>
        <v>1.8001046050037717</v>
      </c>
      <c r="V16" s="4"/>
      <c r="W16" s="4"/>
      <c r="X16" s="3"/>
      <c r="Y16" s="3"/>
      <c r="AB16" s="3"/>
    </row>
    <row r="17" spans="1:28" x14ac:dyDescent="0.45">
      <c r="A17" t="s">
        <v>16</v>
      </c>
      <c r="B17" t="s">
        <v>17</v>
      </c>
      <c r="C17" s="1">
        <v>2.2000000000000002</v>
      </c>
      <c r="D17">
        <v>240</v>
      </c>
      <c r="E17">
        <v>200</v>
      </c>
      <c r="F17" t="s">
        <v>17</v>
      </c>
      <c r="G17">
        <v>150</v>
      </c>
      <c r="H17" t="s">
        <v>15</v>
      </c>
      <c r="I17">
        <f t="shared" si="0"/>
        <v>22500</v>
      </c>
      <c r="J17">
        <v>2.6</v>
      </c>
      <c r="K17">
        <v>102.9</v>
      </c>
      <c r="L17">
        <v>16</v>
      </c>
      <c r="M17">
        <v>500</v>
      </c>
      <c r="O17">
        <v>1.45</v>
      </c>
      <c r="Q17" s="5">
        <f t="shared" si="1"/>
        <v>2.6780487907403043</v>
      </c>
      <c r="R17" s="2">
        <f>(0.18/1.5*MIN((1+SQRT(200/E17)),2)*(MIN(J17,2)*(K17-8))^(1/3))</f>
        <v>1.3792510113327578</v>
      </c>
      <c r="S17" s="2">
        <f>E17/1.15*IF(F17="k",(G17+4*E17)*PI(),IF(F17="q",4*G17+4*E17*PI(),2*G17+2*H17+4*E17*PI()))</f>
        <v>541438.97789075389</v>
      </c>
      <c r="T17" s="2">
        <f t="shared" si="2"/>
        <v>0.74678025783079705</v>
      </c>
      <c r="U17" s="4">
        <f t="shared" si="3"/>
        <v>1.9416688976378056</v>
      </c>
      <c r="V17" s="4"/>
      <c r="W17" s="4"/>
      <c r="X17" s="3"/>
      <c r="Y17" s="3"/>
      <c r="AB17" s="3"/>
    </row>
    <row r="18" spans="1:28" x14ac:dyDescent="0.45">
      <c r="A18" t="s">
        <v>16</v>
      </c>
      <c r="B18" t="s">
        <v>17</v>
      </c>
      <c r="C18" s="1">
        <v>1.1000000000000001</v>
      </c>
      <c r="D18">
        <v>120</v>
      </c>
      <c r="E18">
        <v>88</v>
      </c>
      <c r="F18" t="s">
        <v>17</v>
      </c>
      <c r="G18">
        <v>100</v>
      </c>
      <c r="H18" t="s">
        <v>15</v>
      </c>
      <c r="I18">
        <f t="shared" si="0"/>
        <v>10000</v>
      </c>
      <c r="J18">
        <v>1.8</v>
      </c>
      <c r="K18">
        <v>89.4</v>
      </c>
      <c r="L18">
        <v>16</v>
      </c>
      <c r="M18">
        <v>500</v>
      </c>
      <c r="O18">
        <v>0.33</v>
      </c>
      <c r="Q18" s="5">
        <f t="shared" si="1"/>
        <v>2.8638489091899593</v>
      </c>
      <c r="R18" s="2">
        <f>(0.18/1.5*MIN((1+SQRT(200/E18)),2)*(MIN(J18,2)*(K18-8))^(1/3))</f>
        <v>1.2652515510515359</v>
      </c>
      <c r="S18" s="2">
        <f>E18/1.15*IF(F18="k",(G18+4*E18)*PI(),IF(F18="q",4*G18+4*E18*PI(),2*G18+2*H18+4*E18*PI()))</f>
        <v>115229.54264138908</v>
      </c>
      <c r="T18" s="2">
        <f t="shared" si="2"/>
        <v>0.14579435755397663</v>
      </c>
      <c r="U18" s="4">
        <f t="shared" si="3"/>
        <v>2.2634620813622774</v>
      </c>
      <c r="V18" s="4"/>
      <c r="W18" s="4"/>
      <c r="X18" s="3"/>
      <c r="Y18" s="3"/>
      <c r="AB18" s="3"/>
    </row>
    <row r="19" spans="1:28" x14ac:dyDescent="0.45">
      <c r="A19" t="s">
        <v>16</v>
      </c>
      <c r="B19" t="s">
        <v>17</v>
      </c>
      <c r="C19" s="1">
        <v>2.5</v>
      </c>
      <c r="D19">
        <v>320</v>
      </c>
      <c r="E19">
        <v>275</v>
      </c>
      <c r="F19" t="s">
        <v>17</v>
      </c>
      <c r="G19">
        <v>200</v>
      </c>
      <c r="H19" t="s">
        <v>15</v>
      </c>
      <c r="I19">
        <f t="shared" si="0"/>
        <v>40000</v>
      </c>
      <c r="J19">
        <v>1.5</v>
      </c>
      <c r="K19">
        <v>117.6</v>
      </c>
      <c r="L19">
        <v>16</v>
      </c>
      <c r="M19">
        <v>500</v>
      </c>
      <c r="O19">
        <v>2.4500000000000002</v>
      </c>
      <c r="Q19" s="5">
        <f t="shared" si="1"/>
        <v>2.4074369795468038</v>
      </c>
      <c r="R19" s="2">
        <f>(0.18/1.5*MIN((1+SQRT(200/E19)),2)*(MIN(J19,2)*(K19-8))^(1/3))</f>
        <v>1.2179918925941424</v>
      </c>
      <c r="S19" s="2">
        <f>E19/1.15*IF(F19="k",(G19+4*E19)*PI(),IF(F19="q",4*G19+4*E19*PI(),2*G19+2*H19+4*E19*PI()))</f>
        <v>1017679.8067051412</v>
      </c>
      <c r="T19" s="2">
        <f t="shared" si="2"/>
        <v>1.2395257538236359</v>
      </c>
      <c r="U19" s="4">
        <f t="shared" si="3"/>
        <v>1.9765624009362817</v>
      </c>
      <c r="V19" s="4"/>
      <c r="W19" s="4"/>
      <c r="X19" s="3"/>
      <c r="Y19" s="3"/>
      <c r="AB19" s="3"/>
    </row>
    <row r="20" spans="1:28" x14ac:dyDescent="0.45">
      <c r="A20" t="s">
        <v>16</v>
      </c>
      <c r="B20" t="s">
        <v>17</v>
      </c>
      <c r="C20" s="1">
        <v>2.2000000000000002</v>
      </c>
      <c r="D20">
        <v>240</v>
      </c>
      <c r="E20">
        <v>200</v>
      </c>
      <c r="F20" t="s">
        <v>17</v>
      </c>
      <c r="G20">
        <v>150</v>
      </c>
      <c r="H20" t="s">
        <v>15</v>
      </c>
      <c r="I20">
        <f t="shared" si="0"/>
        <v>22500</v>
      </c>
      <c r="J20">
        <v>1.7</v>
      </c>
      <c r="K20">
        <v>125</v>
      </c>
      <c r="L20">
        <v>16</v>
      </c>
      <c r="M20">
        <v>500</v>
      </c>
      <c r="O20">
        <v>1.4</v>
      </c>
      <c r="Q20" s="5">
        <f t="shared" si="1"/>
        <v>2.5857022807147767</v>
      </c>
      <c r="R20" s="2">
        <f>(0.18/1.5*MIN((1+SQRT(200/E20)),2)*(MIN(J20,2)*(K20-8))^(1/3))</f>
        <v>1.4009506468498729</v>
      </c>
      <c r="S20" s="2">
        <f>E20/1.15*IF(F20="k",(G20+4*E20)*PI(),IF(F20="q",4*G20+4*E20*PI(),2*G20+2*H20+4*E20*PI()))</f>
        <v>541438.97789075389</v>
      </c>
      <c r="T20" s="2">
        <f t="shared" si="2"/>
        <v>0.75852928630578564</v>
      </c>
      <c r="U20" s="4">
        <f t="shared" si="3"/>
        <v>1.8456769241149884</v>
      </c>
      <c r="V20" s="4"/>
      <c r="W20" s="4"/>
      <c r="X20" s="3"/>
      <c r="Y20" s="3"/>
      <c r="AB20" s="3"/>
    </row>
    <row r="21" spans="1:28" x14ac:dyDescent="0.45">
      <c r="A21" t="s">
        <v>16</v>
      </c>
      <c r="B21" t="s">
        <v>17</v>
      </c>
      <c r="C21" s="1">
        <v>2.2000000000000002</v>
      </c>
      <c r="D21">
        <v>240</v>
      </c>
      <c r="E21">
        <v>200</v>
      </c>
      <c r="F21" t="s">
        <v>17</v>
      </c>
      <c r="G21">
        <v>150</v>
      </c>
      <c r="H21" t="s">
        <v>15</v>
      </c>
      <c r="I21">
        <f t="shared" si="0"/>
        <v>22500</v>
      </c>
      <c r="J21">
        <v>2.6</v>
      </c>
      <c r="K21">
        <v>113.5</v>
      </c>
      <c r="L21">
        <v>16</v>
      </c>
      <c r="M21">
        <v>500</v>
      </c>
      <c r="O21">
        <v>1.55</v>
      </c>
      <c r="Q21" s="5">
        <f t="shared" si="1"/>
        <v>2.8627418107913605</v>
      </c>
      <c r="R21" s="2">
        <f>(0.18/1.5*MIN((1+SQRT(200/E21)),2)*(MIN(J21,2)*(K21-8))^(1/3))</f>
        <v>1.4288020351533723</v>
      </c>
      <c r="S21" s="2">
        <f>E21/1.15*IF(F21="k",(G21+4*E21)*PI(),IF(F21="q",4*G21+4*E21*PI(),2*G21+2*H21+4*E21*PI()))</f>
        <v>541438.97789075389</v>
      </c>
      <c r="T21" s="2">
        <f t="shared" si="2"/>
        <v>0.77360911352167094</v>
      </c>
      <c r="U21" s="4">
        <f t="shared" si="3"/>
        <v>2.0035958378825125</v>
      </c>
      <c r="V21" s="4"/>
      <c r="W21" s="4"/>
      <c r="X21" s="3"/>
      <c r="Y21" s="3"/>
      <c r="AB21" s="3"/>
    </row>
    <row r="22" spans="1:28" x14ac:dyDescent="0.45">
      <c r="A22" t="s">
        <v>14</v>
      </c>
      <c r="B22" t="s">
        <v>14</v>
      </c>
      <c r="C22" s="1">
        <v>1.3720000000000001</v>
      </c>
      <c r="D22">
        <v>125</v>
      </c>
      <c r="E22">
        <v>98</v>
      </c>
      <c r="F22" t="s">
        <v>14</v>
      </c>
      <c r="G22">
        <v>150</v>
      </c>
      <c r="H22" t="s">
        <v>15</v>
      </c>
      <c r="I22">
        <f t="shared" si="0"/>
        <v>17671.458676442588</v>
      </c>
      <c r="J22">
        <v>0.57999999999999996</v>
      </c>
      <c r="K22">
        <v>78.400000000000006</v>
      </c>
      <c r="L22">
        <v>10</v>
      </c>
      <c r="M22">
        <v>550</v>
      </c>
      <c r="O22">
        <v>0.224</v>
      </c>
      <c r="Q22" s="5">
        <f t="shared" si="1"/>
        <v>1.5437274395840139</v>
      </c>
      <c r="R22" s="2">
        <f>(0.18/1.5*MIN((1+SQRT(200/E22)),2)*(MIN(J22,2)*(K22-8))^(1/3))</f>
        <v>0.82644024785338122</v>
      </c>
      <c r="S22" s="2">
        <f>E22/1.15*IF(F22="k",(G22+4*E22)*PI(),IF(F22="q",4*G22+4*E22*PI(),2*G22+2*H22+4*E22*PI()))</f>
        <v>145103.3351200656</v>
      </c>
      <c r="T22" s="2">
        <f t="shared" si="2"/>
        <v>0.11991923624097925</v>
      </c>
      <c r="U22" s="4">
        <f t="shared" si="3"/>
        <v>1.867923837922626</v>
      </c>
      <c r="V22" s="4"/>
      <c r="W22" s="4"/>
      <c r="X22" s="3"/>
      <c r="Y22" s="3"/>
      <c r="AB22" s="3"/>
    </row>
    <row r="23" spans="1:28" x14ac:dyDescent="0.45">
      <c r="A23" t="s">
        <v>14</v>
      </c>
      <c r="B23" t="s">
        <v>14</v>
      </c>
      <c r="C23" s="1">
        <v>1.3720000000000001</v>
      </c>
      <c r="D23">
        <v>125</v>
      </c>
      <c r="E23">
        <v>98</v>
      </c>
      <c r="F23" t="s">
        <v>14</v>
      </c>
      <c r="G23">
        <v>150</v>
      </c>
      <c r="H23" t="s">
        <v>15</v>
      </c>
      <c r="I23">
        <f t="shared" si="0"/>
        <v>17671.458676442588</v>
      </c>
      <c r="J23">
        <v>0.57999999999999996</v>
      </c>
      <c r="K23">
        <v>49.9</v>
      </c>
      <c r="L23">
        <v>10</v>
      </c>
      <c r="M23">
        <v>550</v>
      </c>
      <c r="O23">
        <v>0.21199999999999999</v>
      </c>
      <c r="Q23" s="5">
        <f t="shared" ref="Q23:Q37" si="4">O23/S23*10^6</f>
        <v>1.4610277553205846</v>
      </c>
      <c r="R23" s="2">
        <f>(0.18/1.5*MIN((1+SQRT(200/E23)),2)*(MIN(J23,2)*(K23-8))^(1/3))</f>
        <v>0.69517142778810792</v>
      </c>
      <c r="S23" s="2">
        <f>E23/1.15*IF(F23="k",(G23+4*E23)*PI(),IF(F23="q",4*G23+4*E23*PI(),2*G23+2*H23+4*E23*PI()))</f>
        <v>145103.3351200656</v>
      </c>
      <c r="T23" s="2">
        <f t="shared" ref="T23:T37" si="5">R23*S23/10^6</f>
        <v>0.10087169265223231</v>
      </c>
      <c r="U23" s="4">
        <f t="shared" ref="U23:U37" si="6">O23/T23</f>
        <v>2.1016798115096207</v>
      </c>
      <c r="V23" s="4"/>
      <c r="W23" s="4"/>
      <c r="X23" s="3"/>
      <c r="Y23" s="3"/>
      <c r="AB23" s="3"/>
    </row>
    <row r="24" spans="1:28" x14ac:dyDescent="0.45">
      <c r="A24" t="s">
        <v>14</v>
      </c>
      <c r="B24" t="s">
        <v>14</v>
      </c>
      <c r="C24" s="1">
        <v>1.3720000000000001</v>
      </c>
      <c r="D24">
        <v>125</v>
      </c>
      <c r="E24">
        <v>98</v>
      </c>
      <c r="F24" t="s">
        <v>14</v>
      </c>
      <c r="G24">
        <v>150</v>
      </c>
      <c r="H24" t="s">
        <v>15</v>
      </c>
      <c r="I24">
        <f t="shared" si="0"/>
        <v>17671.458676442588</v>
      </c>
      <c r="J24">
        <v>0.57999999999999996</v>
      </c>
      <c r="K24">
        <v>23.9</v>
      </c>
      <c r="L24">
        <v>10</v>
      </c>
      <c r="M24">
        <v>550</v>
      </c>
      <c r="O24">
        <v>0.16900000000000001</v>
      </c>
      <c r="Q24" s="5">
        <f t="shared" si="4"/>
        <v>1.1646872200432963</v>
      </c>
      <c r="R24" s="2">
        <f>(0.18/1.5*MIN((1+SQRT(200/E24)),2)*(MIN(J24,2)*(K24-8))^(1/3))</f>
        <v>0.50329152155738077</v>
      </c>
      <c r="S24" s="2">
        <f>E24/1.15*IF(F24="k",(G24+4*E24)*PI(),IF(F24="q",4*G24+4*E24*PI(),2*G24+2*H24+4*E24*PI()))</f>
        <v>145103.3351200656</v>
      </c>
      <c r="T24" s="2">
        <f t="shared" si="5"/>
        <v>7.3029278315628346E-2</v>
      </c>
      <c r="U24" s="4">
        <f t="shared" si="6"/>
        <v>2.3141403543602297</v>
      </c>
      <c r="V24" s="4"/>
      <c r="W24" s="4"/>
      <c r="X24" s="3"/>
      <c r="Y24" s="3"/>
      <c r="AB24" s="3"/>
    </row>
    <row r="25" spans="1:28" x14ac:dyDescent="0.45">
      <c r="A25" t="s">
        <v>14</v>
      </c>
      <c r="B25" t="s">
        <v>14</v>
      </c>
      <c r="C25" s="1">
        <v>1.3720000000000001</v>
      </c>
      <c r="D25">
        <v>125</v>
      </c>
      <c r="E25">
        <v>98</v>
      </c>
      <c r="F25" t="s">
        <v>14</v>
      </c>
      <c r="G25">
        <v>150</v>
      </c>
      <c r="H25" t="s">
        <v>15</v>
      </c>
      <c r="I25">
        <f t="shared" si="0"/>
        <v>17671.458676442588</v>
      </c>
      <c r="J25">
        <v>0.57999999999999996</v>
      </c>
      <c r="K25">
        <v>52.2</v>
      </c>
      <c r="L25">
        <v>10</v>
      </c>
      <c r="M25">
        <v>550</v>
      </c>
      <c r="O25">
        <v>0.23300000000000001</v>
      </c>
      <c r="Q25" s="5">
        <f t="shared" si="4"/>
        <v>1.605752202781586</v>
      </c>
      <c r="R25" s="2">
        <f>(0.18/1.5*MIN((1+SQRT(200/E25)),2)*(MIN(J25,2)*(K25-8))^(1/3))</f>
        <v>0.70766545527506131</v>
      </c>
      <c r="S25" s="2">
        <f>E25/1.15*IF(F25="k",(G25+4*E25)*PI(),IF(F25="q",4*G25+4*E25*PI(),2*G25+2*H25+4*E25*PI()))</f>
        <v>145103.3351200656</v>
      </c>
      <c r="T25" s="2">
        <f t="shared" si="5"/>
        <v>0.10268461770967102</v>
      </c>
      <c r="U25" s="4">
        <f t="shared" si="6"/>
        <v>2.2690837751257038</v>
      </c>
      <c r="V25" s="4"/>
      <c r="W25" s="4"/>
      <c r="X25" s="3"/>
      <c r="Y25" s="3"/>
      <c r="AB25" s="3"/>
    </row>
    <row r="26" spans="1:28" x14ac:dyDescent="0.45">
      <c r="A26" t="s">
        <v>14</v>
      </c>
      <c r="B26" t="s">
        <v>14</v>
      </c>
      <c r="C26" s="1">
        <v>1.3720000000000001</v>
      </c>
      <c r="D26">
        <v>125</v>
      </c>
      <c r="E26">
        <v>98</v>
      </c>
      <c r="F26" t="s">
        <v>14</v>
      </c>
      <c r="G26">
        <v>150</v>
      </c>
      <c r="H26" t="s">
        <v>15</v>
      </c>
      <c r="I26">
        <f t="shared" si="0"/>
        <v>17671.458676442588</v>
      </c>
      <c r="J26">
        <v>0.57999999999999996</v>
      </c>
      <c r="K26">
        <v>90.5</v>
      </c>
      <c r="L26">
        <v>10</v>
      </c>
      <c r="M26">
        <v>550</v>
      </c>
      <c r="O26">
        <v>0.23300000000000001</v>
      </c>
      <c r="Q26" s="5">
        <f t="shared" si="4"/>
        <v>1.605752202781586</v>
      </c>
      <c r="R26" s="2">
        <f>(0.18/1.5*MIN((1+SQRT(200/E26)),2)*(MIN(J26,2)*(K26-8))^(1/3))</f>
        <v>0.8713083761995194</v>
      </c>
      <c r="S26" s="2">
        <f>E26/1.15*IF(F26="k",(G26+4*E26)*PI(),IF(F26="q",4*G26+4*E26*PI(),2*G26+2*H26+4*E26*PI()))</f>
        <v>145103.3351200656</v>
      </c>
      <c r="T26" s="2">
        <f t="shared" si="5"/>
        <v>0.12642975130459905</v>
      </c>
      <c r="U26" s="4">
        <f t="shared" si="6"/>
        <v>1.8429206543216885</v>
      </c>
      <c r="V26" s="4"/>
      <c r="W26" s="4"/>
      <c r="X26" s="3"/>
      <c r="Y26" s="3"/>
      <c r="AB26" s="3"/>
    </row>
    <row r="27" spans="1:28" x14ac:dyDescent="0.45">
      <c r="A27" t="s">
        <v>14</v>
      </c>
      <c r="B27" t="s">
        <v>14</v>
      </c>
      <c r="C27" s="1">
        <v>1.3720000000000001</v>
      </c>
      <c r="D27">
        <v>125</v>
      </c>
      <c r="E27">
        <v>98</v>
      </c>
      <c r="F27" t="s">
        <v>14</v>
      </c>
      <c r="G27">
        <v>150</v>
      </c>
      <c r="H27" t="s">
        <v>15</v>
      </c>
      <c r="I27">
        <f t="shared" si="0"/>
        <v>17671.458676442588</v>
      </c>
      <c r="J27">
        <v>1.28</v>
      </c>
      <c r="K27">
        <v>53.6</v>
      </c>
      <c r="L27">
        <v>10</v>
      </c>
      <c r="M27">
        <v>550</v>
      </c>
      <c r="O27">
        <v>0.31900000000000001</v>
      </c>
      <c r="Q27" s="5">
        <f t="shared" si="4"/>
        <v>2.1984332733361627</v>
      </c>
      <c r="R27" s="2">
        <f>(0.18/1.5*MIN((1+SQRT(200/E27)),2)*(MIN(J27,2)*(K27-8))^(1/3))</f>
        <v>0.93097105648125678</v>
      </c>
      <c r="S27" s="2">
        <f>E27/1.15*IF(F27="k",(G27+4*E27)*PI(),IF(F27="q",4*G27+4*E27*PI(),2*G27+2*H27+4*E27*PI()))</f>
        <v>145103.3351200656</v>
      </c>
      <c r="T27" s="2">
        <f t="shared" si="5"/>
        <v>0.13508700519568131</v>
      </c>
      <c r="U27" s="4">
        <f t="shared" si="6"/>
        <v>2.3614410545108324</v>
      </c>
      <c r="V27" s="4"/>
      <c r="W27" s="4"/>
      <c r="X27" s="3"/>
      <c r="Y27" s="3"/>
      <c r="AA27" s="2" t="s">
        <v>21</v>
      </c>
      <c r="AB27" s="3"/>
    </row>
    <row r="28" spans="1:28" x14ac:dyDescent="0.45">
      <c r="A28" t="s">
        <v>14</v>
      </c>
      <c r="B28" t="s">
        <v>14</v>
      </c>
      <c r="C28" s="1">
        <v>1.3720000000000001</v>
      </c>
      <c r="D28">
        <v>125</v>
      </c>
      <c r="E28">
        <v>98</v>
      </c>
      <c r="F28" t="s">
        <v>14</v>
      </c>
      <c r="G28">
        <v>150</v>
      </c>
      <c r="H28" t="s">
        <v>15</v>
      </c>
      <c r="I28">
        <f t="shared" si="0"/>
        <v>17671.458676442588</v>
      </c>
      <c r="J28">
        <v>1.28</v>
      </c>
      <c r="K28">
        <v>38.700000000000003</v>
      </c>
      <c r="L28">
        <v>10</v>
      </c>
      <c r="M28">
        <v>550</v>
      </c>
      <c r="O28">
        <v>0.29699999999999999</v>
      </c>
      <c r="Q28" s="5">
        <f t="shared" si="4"/>
        <v>2.0468171855198753</v>
      </c>
      <c r="R28" s="2">
        <f>(0.18/1.5*MIN((1+SQRT(200/E28)),2)*(MIN(J28,2)*(K28-8))^(1/3))</f>
        <v>0.81594463292152908</v>
      </c>
      <c r="S28" s="2">
        <f>E28/1.15*IF(F28="k",(G28+4*E28)*PI(),IF(F28="q",4*G28+4*E28*PI(),2*G28+2*H28+4*E28*PI()))</f>
        <v>145103.3351200656</v>
      </c>
      <c r="T28" s="2">
        <f t="shared" si="5"/>
        <v>0.11839628751023154</v>
      </c>
      <c r="U28" s="4">
        <f t="shared" si="6"/>
        <v>2.5085246019587726</v>
      </c>
      <c r="V28" s="4"/>
      <c r="W28" s="4"/>
      <c r="X28" s="3"/>
      <c r="Y28" s="3"/>
      <c r="AB28" s="3"/>
    </row>
    <row r="29" spans="1:28" x14ac:dyDescent="0.45">
      <c r="A29" t="s">
        <v>14</v>
      </c>
      <c r="B29" t="s">
        <v>14</v>
      </c>
      <c r="C29" s="1">
        <v>1.3720000000000001</v>
      </c>
      <c r="D29">
        <v>125</v>
      </c>
      <c r="E29">
        <v>98</v>
      </c>
      <c r="F29" t="s">
        <v>14</v>
      </c>
      <c r="G29">
        <v>150</v>
      </c>
      <c r="H29" t="s">
        <v>15</v>
      </c>
      <c r="I29">
        <f t="shared" si="0"/>
        <v>17671.458676442588</v>
      </c>
      <c r="J29">
        <v>1.28</v>
      </c>
      <c r="K29">
        <v>54</v>
      </c>
      <c r="L29">
        <v>10</v>
      </c>
      <c r="M29">
        <v>550</v>
      </c>
      <c r="O29">
        <v>0.34100000000000003</v>
      </c>
      <c r="Q29" s="5">
        <f t="shared" si="4"/>
        <v>2.35004936115245</v>
      </c>
      <c r="R29" s="2">
        <f>(0.18/1.5*MIN((1+SQRT(200/E29)),2)*(MIN(J29,2)*(K29-8))^(1/3))</f>
        <v>0.93368527317010175</v>
      </c>
      <c r="S29" s="2">
        <f>E29/1.15*IF(F29="k",(G29+4*E29)*PI(),IF(F29="q",4*G29+4*E29*PI(),2*G29+2*H29+4*E29*PI()))</f>
        <v>145103.3351200656</v>
      </c>
      <c r="T29" s="2">
        <f t="shared" si="5"/>
        <v>0.13548084708947128</v>
      </c>
      <c r="U29" s="4">
        <f t="shared" si="6"/>
        <v>2.5169609382114677</v>
      </c>
      <c r="V29" s="4"/>
      <c r="W29" s="4"/>
      <c r="X29" s="3"/>
      <c r="Y29" s="3"/>
      <c r="AB29" s="3"/>
    </row>
    <row r="30" spans="1:28" x14ac:dyDescent="0.45">
      <c r="A30" t="s">
        <v>14</v>
      </c>
      <c r="B30" t="s">
        <v>14</v>
      </c>
      <c r="C30" s="1">
        <v>1.3720000000000001</v>
      </c>
      <c r="D30">
        <v>125</v>
      </c>
      <c r="E30">
        <v>98</v>
      </c>
      <c r="F30" t="s">
        <v>14</v>
      </c>
      <c r="G30">
        <v>150</v>
      </c>
      <c r="H30" t="s">
        <v>15</v>
      </c>
      <c r="I30">
        <f t="shared" si="0"/>
        <v>17671.458676442588</v>
      </c>
      <c r="J30">
        <v>1.28</v>
      </c>
      <c r="K30">
        <v>87.4</v>
      </c>
      <c r="L30">
        <v>10</v>
      </c>
      <c r="M30">
        <v>550</v>
      </c>
      <c r="O30">
        <v>0.36199999999999999</v>
      </c>
      <c r="Q30" s="5">
        <f t="shared" si="4"/>
        <v>2.4947738086134512</v>
      </c>
      <c r="R30" s="2">
        <f>(0.18/1.5*MIN((1+SQRT(200/E30)),2)*(MIN(J30,2)*(K30-8))^(1/3))</f>
        <v>1.1200087074152973</v>
      </c>
      <c r="S30" s="2">
        <f>E30/1.15*IF(F30="k",(G30+4*E30)*PI(),IF(F30="q",4*G30+4*E30*PI(),2*G30+2*H30+4*E30*PI()))</f>
        <v>145103.3351200656</v>
      </c>
      <c r="T30" s="2">
        <f t="shared" si="5"/>
        <v>0.16251699880947337</v>
      </c>
      <c r="U30" s="4">
        <f t="shared" si="6"/>
        <v>2.2274592975002592</v>
      </c>
      <c r="V30" s="4"/>
      <c r="W30" s="4"/>
      <c r="X30" s="3"/>
      <c r="Y30" s="3"/>
      <c r="AB30" s="3"/>
    </row>
    <row r="31" spans="1:28" x14ac:dyDescent="0.45">
      <c r="A31" t="s">
        <v>14</v>
      </c>
      <c r="B31" t="s">
        <v>14</v>
      </c>
      <c r="C31" s="1">
        <v>1.3720000000000001</v>
      </c>
      <c r="D31">
        <v>125</v>
      </c>
      <c r="E31">
        <v>98</v>
      </c>
      <c r="F31" t="s">
        <v>14</v>
      </c>
      <c r="G31">
        <v>150</v>
      </c>
      <c r="H31" t="s">
        <v>15</v>
      </c>
      <c r="I31">
        <f t="shared" si="0"/>
        <v>17671.458676442588</v>
      </c>
      <c r="J31">
        <v>1.28</v>
      </c>
      <c r="K31">
        <v>37.200000000000003</v>
      </c>
      <c r="L31">
        <v>20</v>
      </c>
      <c r="M31">
        <v>650</v>
      </c>
      <c r="O31">
        <v>0.28599999999999998</v>
      </c>
      <c r="Q31" s="5">
        <f t="shared" si="4"/>
        <v>1.9710091416117317</v>
      </c>
      <c r="R31" s="2">
        <f>(0.18/1.5*MIN((1+SQRT(200/E31)),2)*(MIN(J31,2)*(K31-8))^(1/3))</f>
        <v>0.80243312570519632</v>
      </c>
      <c r="S31" s="2">
        <f>E31/1.15*IF(F31="k",(G31+4*E31)*PI(),IF(F31="q",4*G31+4*E31*PI(),2*G31+2*H31+4*E31*PI()))</f>
        <v>145103.3351200656</v>
      </c>
      <c r="T31" s="2">
        <f t="shared" si="5"/>
        <v>0.11643572275064283</v>
      </c>
      <c r="U31" s="4">
        <f t="shared" si="6"/>
        <v>2.456290846517041</v>
      </c>
      <c r="V31" s="4"/>
      <c r="W31" s="4"/>
      <c r="X31" s="3"/>
      <c r="Y31" s="3"/>
      <c r="AB31" s="3"/>
    </row>
    <row r="32" spans="1:28" x14ac:dyDescent="0.45">
      <c r="A32" t="s">
        <v>14</v>
      </c>
      <c r="B32" t="s">
        <v>14</v>
      </c>
      <c r="C32" s="1">
        <v>1.3720000000000001</v>
      </c>
      <c r="D32">
        <v>125</v>
      </c>
      <c r="E32">
        <v>98</v>
      </c>
      <c r="F32" t="s">
        <v>14</v>
      </c>
      <c r="G32">
        <v>150</v>
      </c>
      <c r="H32" t="s">
        <v>15</v>
      </c>
      <c r="I32">
        <f t="shared" si="0"/>
        <v>17671.458676442588</v>
      </c>
      <c r="J32">
        <v>1.28</v>
      </c>
      <c r="K32">
        <v>74.8</v>
      </c>
      <c r="L32">
        <v>20</v>
      </c>
      <c r="M32">
        <v>650</v>
      </c>
      <c r="O32">
        <v>0.40500000000000003</v>
      </c>
      <c r="Q32" s="5">
        <f t="shared" si="4"/>
        <v>2.7911143438907398</v>
      </c>
      <c r="R32" s="2">
        <f>(0.18/1.5*MIN((1+SQRT(200/E32)),2)*(MIN(J32,2)*(K32-8))^(1/3))</f>
        <v>1.057320661706372</v>
      </c>
      <c r="S32" s="2">
        <f>E32/1.15*IF(F32="k",(G32+4*E32)*PI(),IF(F32="q",4*G32+4*E32*PI(),2*G32+2*H32+4*E32*PI()))</f>
        <v>145103.3351200656</v>
      </c>
      <c r="T32" s="2">
        <f t="shared" si="5"/>
        <v>0.1534207543049492</v>
      </c>
      <c r="U32" s="4">
        <f t="shared" si="6"/>
        <v>2.6397993011753504</v>
      </c>
      <c r="V32" s="4"/>
      <c r="W32" s="4"/>
      <c r="X32" s="3"/>
      <c r="Y32" s="3"/>
      <c r="AB32" s="3"/>
    </row>
    <row r="33" spans="1:28" x14ac:dyDescent="0.45">
      <c r="A33" t="s">
        <v>14</v>
      </c>
      <c r="B33" t="s">
        <v>14</v>
      </c>
      <c r="C33" s="1">
        <v>1.3720000000000001</v>
      </c>
      <c r="D33">
        <v>125</v>
      </c>
      <c r="E33">
        <v>100</v>
      </c>
      <c r="F33" t="s">
        <v>14</v>
      </c>
      <c r="G33">
        <v>150</v>
      </c>
      <c r="H33" t="s">
        <v>15</v>
      </c>
      <c r="I33">
        <f t="shared" si="0"/>
        <v>17671.458676442588</v>
      </c>
      <c r="J33">
        <v>0.87</v>
      </c>
      <c r="K33">
        <v>50.1</v>
      </c>
      <c r="L33">
        <v>20</v>
      </c>
      <c r="M33">
        <v>650</v>
      </c>
      <c r="O33">
        <v>0.34100000000000003</v>
      </c>
      <c r="Q33" s="5">
        <f t="shared" si="4"/>
        <v>2.2695494884904273</v>
      </c>
      <c r="R33" s="2">
        <f>(0.18/1.5*MIN((1+SQRT(200/E33)),2)*(MIN(J33,2)*(K33-8))^(1/3))</f>
        <v>0.79703677097725179</v>
      </c>
      <c r="S33" s="2">
        <f>E33/1.15*IF(F33="k",(G33+4*E33)*PI(),IF(F33="q",4*G33+4*E33*PI(),2*G33+2*H33+4*E33*PI()))</f>
        <v>150250.08343255534</v>
      </c>
      <c r="T33" s="2">
        <f t="shared" si="5"/>
        <v>0.11975484133814658</v>
      </c>
      <c r="U33" s="4">
        <f t="shared" si="6"/>
        <v>2.8474840448173033</v>
      </c>
      <c r="V33" s="4"/>
      <c r="W33" s="4"/>
      <c r="X33" s="3"/>
      <c r="Y33" s="3"/>
      <c r="AB33" s="3"/>
    </row>
    <row r="34" spans="1:28" x14ac:dyDescent="0.45">
      <c r="A34" t="s">
        <v>14</v>
      </c>
      <c r="B34" t="s">
        <v>14</v>
      </c>
      <c r="C34" s="1">
        <v>1.3720000000000001</v>
      </c>
      <c r="D34">
        <v>125</v>
      </c>
      <c r="E34">
        <v>100</v>
      </c>
      <c r="F34" t="s">
        <v>14</v>
      </c>
      <c r="G34">
        <v>150</v>
      </c>
      <c r="H34" t="s">
        <v>15</v>
      </c>
      <c r="I34">
        <f t="shared" si="0"/>
        <v>17671.458676442588</v>
      </c>
      <c r="J34">
        <v>1.27</v>
      </c>
      <c r="K34">
        <v>29.2</v>
      </c>
      <c r="L34">
        <v>10</v>
      </c>
      <c r="M34">
        <v>650</v>
      </c>
      <c r="O34">
        <v>0.24399999999999999</v>
      </c>
      <c r="Q34" s="5">
        <f t="shared" si="4"/>
        <v>1.6239591647849392</v>
      </c>
      <c r="R34" s="2">
        <f>(0.18/1.5*MIN((1+SQRT(200/E34)),2)*(MIN(J34,2)*(K34-8))^(1/3))</f>
        <v>0.71932380959677211</v>
      </c>
      <c r="S34" s="2">
        <f>E34/1.15*IF(F34="k",(G34+4*E34)*PI(),IF(F34="q",4*G34+4*E34*PI(),2*G34+2*H34+4*E34*PI()))</f>
        <v>150250.08343255534</v>
      </c>
      <c r="T34" s="2">
        <f t="shared" si="5"/>
        <v>0.10807846240693857</v>
      </c>
      <c r="U34" s="4">
        <f t="shared" si="6"/>
        <v>2.2576190904834279</v>
      </c>
      <c r="V34" s="4"/>
      <c r="W34" s="4"/>
      <c r="X34" s="3"/>
      <c r="Y34" s="3"/>
      <c r="AB34" s="3"/>
    </row>
    <row r="35" spans="1:28" x14ac:dyDescent="0.45">
      <c r="A35" t="s">
        <v>14</v>
      </c>
      <c r="B35" t="s">
        <v>14</v>
      </c>
      <c r="C35" s="1">
        <v>1.3720000000000001</v>
      </c>
      <c r="D35">
        <v>125</v>
      </c>
      <c r="E35">
        <v>100</v>
      </c>
      <c r="F35" t="s">
        <v>14</v>
      </c>
      <c r="G35">
        <v>150</v>
      </c>
      <c r="H35" t="s">
        <v>15</v>
      </c>
      <c r="I35">
        <f t="shared" si="0"/>
        <v>17671.458676442588</v>
      </c>
      <c r="J35">
        <v>1.27</v>
      </c>
      <c r="K35">
        <v>33.4</v>
      </c>
      <c r="L35">
        <v>20</v>
      </c>
      <c r="M35">
        <v>650</v>
      </c>
      <c r="O35">
        <v>0.29399999999999998</v>
      </c>
      <c r="Q35" s="5">
        <f t="shared" si="4"/>
        <v>1.956737682158902</v>
      </c>
      <c r="R35" s="2">
        <f>(0.18/1.5*MIN((1+SQRT(200/E35)),2)*(MIN(J35,2)*(K35-8))^(1/3))</f>
        <v>0.76399477349932787</v>
      </c>
      <c r="S35" s="2">
        <f>E35/1.15*IF(F35="k",(G35+4*E35)*PI(),IF(F35="q",4*G35+4*E35*PI(),2*G35+2*H35+4*E35*PI()))</f>
        <v>150250.08343255534</v>
      </c>
      <c r="T35" s="2">
        <f t="shared" si="5"/>
        <v>0.11479027846031023</v>
      </c>
      <c r="U35" s="4">
        <f t="shared" si="6"/>
        <v>2.5611924976874509</v>
      </c>
      <c r="V35" s="4"/>
      <c r="W35" s="4"/>
      <c r="X35" s="3"/>
      <c r="Y35" s="3"/>
      <c r="AB35" s="3"/>
    </row>
    <row r="36" spans="1:28" x14ac:dyDescent="0.45">
      <c r="A36" t="s">
        <v>14</v>
      </c>
      <c r="B36" t="s">
        <v>14</v>
      </c>
      <c r="C36" s="1">
        <v>1.3720000000000001</v>
      </c>
      <c r="D36">
        <v>125</v>
      </c>
      <c r="E36">
        <v>102</v>
      </c>
      <c r="F36" t="s">
        <v>14</v>
      </c>
      <c r="G36">
        <v>150</v>
      </c>
      <c r="H36" t="s">
        <v>15</v>
      </c>
      <c r="I36">
        <f t="shared" si="0"/>
        <v>17671.458676442588</v>
      </c>
      <c r="J36">
        <v>1.03</v>
      </c>
      <c r="K36">
        <v>29.9</v>
      </c>
      <c r="L36">
        <v>20</v>
      </c>
      <c r="M36">
        <v>650</v>
      </c>
      <c r="O36">
        <v>0.22700000000000001</v>
      </c>
      <c r="Q36" s="5">
        <f t="shared" si="4"/>
        <v>1.4599549474361966</v>
      </c>
      <c r="R36" s="2">
        <f>(0.18/1.5*MIN((1+SQRT(200/E36)),2)*(MIN(J36,2)*(K36-8))^(1/3))</f>
        <v>0.67811760822993183</v>
      </c>
      <c r="S36" s="2">
        <f>E36/1.15*IF(F36="k",(G36+4*E36)*PI(),IF(F36="q",4*G36+4*E36*PI(),2*G36+2*H36+4*E36*PI()))</f>
        <v>155484.24997540581</v>
      </c>
      <c r="T36" s="2">
        <f t="shared" si="5"/>
        <v>0.10543660771074702</v>
      </c>
      <c r="U36" s="4">
        <f t="shared" si="6"/>
        <v>2.1529524225850278</v>
      </c>
      <c r="V36" s="4"/>
      <c r="W36" s="4"/>
      <c r="X36" s="3"/>
      <c r="Y36" s="3"/>
      <c r="AB36" s="3"/>
    </row>
    <row r="37" spans="1:28" x14ac:dyDescent="0.45">
      <c r="A37" t="s">
        <v>18</v>
      </c>
      <c r="B37" t="s">
        <v>17</v>
      </c>
      <c r="C37" s="1">
        <v>1.5</v>
      </c>
      <c r="D37">
        <v>120</v>
      </c>
      <c r="E37">
        <v>95</v>
      </c>
      <c r="F37" t="s">
        <v>17</v>
      </c>
      <c r="G37">
        <v>150</v>
      </c>
      <c r="H37" t="s">
        <v>15</v>
      </c>
      <c r="I37">
        <f t="shared" si="0"/>
        <v>22500</v>
      </c>
      <c r="J37">
        <v>0.49</v>
      </c>
      <c r="K37">
        <v>67</v>
      </c>
      <c r="L37">
        <v>20</v>
      </c>
      <c r="M37">
        <v>490</v>
      </c>
      <c r="O37">
        <v>0.17799999999999999</v>
      </c>
      <c r="Q37" s="5">
        <f t="shared" si="4"/>
        <v>1.2012100489273843</v>
      </c>
      <c r="R37" s="2">
        <f>(0.18/1.5*MIN((1+SQRT(200/E37)),2)*(MIN(J37,2)*(K37-8))^(1/3))</f>
        <v>0.73659246560790492</v>
      </c>
      <c r="S37" s="2">
        <f>E37/1.15*IF(F37="k",(G37+4*E37)*PI(),IF(F37="q",4*G37+4*E37*PI(),2*G37+2*H37+4*E37*PI()))</f>
        <v>148183.90851703612</v>
      </c>
      <c r="T37" s="2">
        <f t="shared" si="5"/>
        <v>0.10915115053797986</v>
      </c>
      <c r="U37" s="4">
        <f t="shared" si="6"/>
        <v>1.6307661359745698</v>
      </c>
      <c r="V37" s="4"/>
      <c r="W37" s="4"/>
      <c r="X37" s="3"/>
      <c r="Y37" s="3"/>
      <c r="AB37" s="3"/>
    </row>
    <row r="38" spans="1:28" x14ac:dyDescent="0.45">
      <c r="A38" t="s">
        <v>18</v>
      </c>
      <c r="B38" t="s">
        <v>17</v>
      </c>
      <c r="C38" s="1">
        <v>1.5</v>
      </c>
      <c r="D38">
        <v>120</v>
      </c>
      <c r="E38">
        <v>95</v>
      </c>
      <c r="F38" t="s">
        <v>17</v>
      </c>
      <c r="G38">
        <v>150</v>
      </c>
      <c r="H38" t="s">
        <v>15</v>
      </c>
      <c r="I38">
        <f t="shared" si="0"/>
        <v>22500</v>
      </c>
      <c r="J38">
        <v>0.84</v>
      </c>
      <c r="K38">
        <v>70</v>
      </c>
      <c r="L38">
        <v>20</v>
      </c>
      <c r="M38">
        <v>490</v>
      </c>
      <c r="O38">
        <v>0.249</v>
      </c>
      <c r="Q38" s="5">
        <f t="shared" ref="Q38:Q101" si="7">O38/S38*10^6</f>
        <v>1.6803443942860601</v>
      </c>
      <c r="R38" s="2">
        <f>(0.18/1.5*MIN((1+SQRT(200/E38)),2)*(MIN(J38,2)*(K38-8))^(1/3))</f>
        <v>0.89626182824325884</v>
      </c>
      <c r="S38" s="2">
        <f>E38/1.15*IF(F38="k",(G38+4*E38)*PI(),IF(F38="q",4*G38+4*E38*PI(),2*G38+2*H38+4*E38*PI()))</f>
        <v>148183.90851703612</v>
      </c>
      <c r="T38" s="2">
        <f t="shared" ref="T38:T101" si="8">R38*S38/10^6</f>
        <v>0.13281158076371061</v>
      </c>
      <c r="U38" s="4">
        <f t="shared" ref="U38:U101" si="9">O38/T38</f>
        <v>1.8748365057336678</v>
      </c>
      <c r="V38" s="4"/>
      <c r="W38" s="4"/>
      <c r="X38" s="3"/>
      <c r="Y38" s="3"/>
      <c r="AB38" s="3"/>
    </row>
    <row r="39" spans="1:28" x14ac:dyDescent="0.45">
      <c r="A39" t="s">
        <v>18</v>
      </c>
      <c r="B39" t="s">
        <v>17</v>
      </c>
      <c r="C39" s="1">
        <v>1.5</v>
      </c>
      <c r="D39">
        <v>120</v>
      </c>
      <c r="E39">
        <v>95</v>
      </c>
      <c r="F39" t="s">
        <v>17</v>
      </c>
      <c r="G39">
        <v>150</v>
      </c>
      <c r="H39" t="s">
        <v>15</v>
      </c>
      <c r="I39">
        <f t="shared" si="0"/>
        <v>22500</v>
      </c>
      <c r="J39">
        <v>1.47</v>
      </c>
      <c r="K39">
        <v>69</v>
      </c>
      <c r="L39">
        <v>20</v>
      </c>
      <c r="M39">
        <v>490</v>
      </c>
      <c r="O39">
        <v>0.35599999999999998</v>
      </c>
      <c r="Q39" s="5">
        <f t="shared" si="7"/>
        <v>2.4024200978547685</v>
      </c>
      <c r="R39" s="2">
        <f>(0.18/1.5*MIN((1+SQRT(200/E39)),2)*(MIN(J39,2)*(K39-8))^(1/3))</f>
        <v>1.0742209838339443</v>
      </c>
      <c r="S39" s="2">
        <f>E39/1.15*IF(F39="k",(G39+4*E39)*PI(),IF(F39="q",4*G39+4*E39*PI(),2*G39+2*H39+4*E39*PI()))</f>
        <v>148183.90851703612</v>
      </c>
      <c r="T39" s="2">
        <f t="shared" si="8"/>
        <v>0.15918226399552973</v>
      </c>
      <c r="U39" s="4">
        <f t="shared" si="9"/>
        <v>2.2364300586276209</v>
      </c>
      <c r="V39" s="4"/>
      <c r="W39" s="4"/>
      <c r="X39" s="3"/>
      <c r="Y39" s="3"/>
      <c r="AB39" s="3"/>
    </row>
    <row r="40" spans="1:28" x14ac:dyDescent="0.45">
      <c r="A40" t="s">
        <v>18</v>
      </c>
      <c r="B40" t="s">
        <v>17</v>
      </c>
      <c r="C40" s="1">
        <v>1.5</v>
      </c>
      <c r="D40">
        <v>120</v>
      </c>
      <c r="E40">
        <v>90</v>
      </c>
      <c r="F40" t="s">
        <v>17</v>
      </c>
      <c r="G40">
        <v>150</v>
      </c>
      <c r="H40" t="s">
        <v>15</v>
      </c>
      <c r="I40">
        <f t="shared" si="0"/>
        <v>22500</v>
      </c>
      <c r="J40">
        <v>2.37</v>
      </c>
      <c r="K40">
        <v>66</v>
      </c>
      <c r="L40">
        <v>20</v>
      </c>
      <c r="M40">
        <v>490</v>
      </c>
      <c r="O40">
        <v>0.41799999999999998</v>
      </c>
      <c r="Q40" s="5">
        <f t="shared" si="7"/>
        <v>3.0856113959126237</v>
      </c>
      <c r="R40" s="2">
        <f>(0.18/1.5*MIN((1+SQRT(200/E40)),2)*(MIN(J40,2)*(K40-8))^(1/3))</f>
        <v>1.1704797506575948</v>
      </c>
      <c r="S40" s="2">
        <f>E40/1.15*IF(F40="k",(G40+4*E40)*PI(),IF(F40="q",4*G40+4*E40*PI(),2*G40+2*H40+4*E40*PI()))</f>
        <v>135467.47997939939</v>
      </c>
      <c r="T40" s="2">
        <f t="shared" si="8"/>
        <v>0.15856194218850012</v>
      </c>
      <c r="U40" s="4">
        <f t="shared" si="9"/>
        <v>2.6361937437867478</v>
      </c>
      <c r="V40" s="4"/>
      <c r="W40" s="4"/>
      <c r="X40" s="3"/>
      <c r="Y40" s="3"/>
      <c r="AB40" s="3"/>
    </row>
    <row r="41" spans="1:28" x14ac:dyDescent="0.45">
      <c r="A41" t="s">
        <v>18</v>
      </c>
      <c r="B41" t="s">
        <v>17</v>
      </c>
      <c r="C41" s="1">
        <v>1.5</v>
      </c>
      <c r="D41">
        <v>120</v>
      </c>
      <c r="E41">
        <v>95</v>
      </c>
      <c r="F41" t="s">
        <v>17</v>
      </c>
      <c r="G41">
        <v>150</v>
      </c>
      <c r="H41" t="s">
        <v>15</v>
      </c>
      <c r="I41">
        <f t="shared" si="0"/>
        <v>22500</v>
      </c>
      <c r="J41">
        <v>1.19</v>
      </c>
      <c r="K41">
        <v>74</v>
      </c>
      <c r="L41">
        <v>20</v>
      </c>
      <c r="M41">
        <v>490</v>
      </c>
      <c r="O41">
        <v>0.35599999999999998</v>
      </c>
      <c r="Q41" s="5">
        <f t="shared" si="7"/>
        <v>2.4024200978547685</v>
      </c>
      <c r="R41" s="2">
        <f>(0.18/1.5*MIN((1+SQRT(200/E41)),2)*(MIN(J41,2)*(K41-8))^(1/3))</f>
        <v>1.0277990391792458</v>
      </c>
      <c r="S41" s="2">
        <f>E41/1.15*IF(F41="k",(G41+4*E41)*PI(),IF(F41="q",4*G41+4*E41*PI(),2*G41+2*H41+4*E41*PI()))</f>
        <v>148183.90851703612</v>
      </c>
      <c r="T41" s="2">
        <f t="shared" si="8"/>
        <v>0.15230327879563499</v>
      </c>
      <c r="U41" s="4">
        <f t="shared" si="9"/>
        <v>2.337441470828026</v>
      </c>
      <c r="V41" s="4"/>
      <c r="W41" s="4"/>
      <c r="X41" s="3"/>
      <c r="Y41" s="3"/>
      <c r="AB41" s="3"/>
    </row>
    <row r="42" spans="1:28" x14ac:dyDescent="0.45">
      <c r="A42" t="s">
        <v>18</v>
      </c>
      <c r="B42" t="s">
        <v>17</v>
      </c>
      <c r="C42" s="1">
        <v>1.5</v>
      </c>
      <c r="D42">
        <v>150</v>
      </c>
      <c r="E42">
        <v>120</v>
      </c>
      <c r="F42" t="s">
        <v>17</v>
      </c>
      <c r="G42">
        <v>150</v>
      </c>
      <c r="H42" t="s">
        <v>15</v>
      </c>
      <c r="I42">
        <f t="shared" si="0"/>
        <v>22500</v>
      </c>
      <c r="J42">
        <v>1.1100000000000001</v>
      </c>
      <c r="K42">
        <v>69</v>
      </c>
      <c r="L42">
        <v>20</v>
      </c>
      <c r="M42">
        <v>490</v>
      </c>
      <c r="O42">
        <v>0.436</v>
      </c>
      <c r="Q42" s="5">
        <f t="shared" si="7"/>
        <v>1.9821649678723159</v>
      </c>
      <c r="R42" s="2">
        <f>(0.18/1.5*MIN((1+SQRT(200/E42)),2)*(MIN(J42,2)*(K42-8))^(1/3))</f>
        <v>0.97820267544840156</v>
      </c>
      <c r="S42" s="2">
        <f>E42/1.15*IF(F42="k",(G42+4*E42)*PI(),IF(F42="q",4*G42+4*E42*PI(),2*G42+2*H42+4*E42*PI()))</f>
        <v>219961.51030154095</v>
      </c>
      <c r="T42" s="2">
        <f t="shared" si="8"/>
        <v>0.21516693787263849</v>
      </c>
      <c r="U42" s="4">
        <f t="shared" si="9"/>
        <v>2.0263336194247321</v>
      </c>
      <c r="V42" s="4"/>
      <c r="W42" s="4"/>
      <c r="X42" s="3"/>
      <c r="Y42" s="3"/>
      <c r="AB42" s="3"/>
    </row>
    <row r="43" spans="1:28" x14ac:dyDescent="0.45">
      <c r="A43" t="s">
        <v>18</v>
      </c>
      <c r="B43" t="s">
        <v>17</v>
      </c>
      <c r="C43" s="1">
        <v>1.5</v>
      </c>
      <c r="D43">
        <v>150</v>
      </c>
      <c r="E43">
        <v>120</v>
      </c>
      <c r="F43" t="s">
        <v>17</v>
      </c>
      <c r="G43">
        <v>150</v>
      </c>
      <c r="H43" t="s">
        <v>15</v>
      </c>
      <c r="I43">
        <f t="shared" si="0"/>
        <v>22500</v>
      </c>
      <c r="J43">
        <v>1.61</v>
      </c>
      <c r="K43">
        <v>74</v>
      </c>
      <c r="L43">
        <v>20</v>
      </c>
      <c r="M43">
        <v>490</v>
      </c>
      <c r="O43">
        <v>0.54300000000000004</v>
      </c>
      <c r="Q43" s="5">
        <f t="shared" si="7"/>
        <v>2.4686137099877694</v>
      </c>
      <c r="R43" s="2">
        <f>(0.18/1.5*MIN((1+SQRT(200/E43)),2)*(MIN(J43,2)*(K43-8))^(1/3))</f>
        <v>1.1367575453673935</v>
      </c>
      <c r="S43" s="2">
        <f>E43/1.15*IF(F43="k",(G43+4*E43)*PI(),IF(F43="q",4*G43+4*E43*PI(),2*G43+2*H43+4*E43*PI()))</f>
        <v>219961.51030154095</v>
      </c>
      <c r="T43" s="2">
        <f t="shared" si="8"/>
        <v>0.25004290652568434</v>
      </c>
      <c r="U43" s="4">
        <f t="shared" si="9"/>
        <v>2.171627292071264</v>
      </c>
      <c r="V43" s="4"/>
      <c r="W43" s="4"/>
      <c r="X43" s="3"/>
      <c r="Y43" s="3"/>
      <c r="AB43" s="3"/>
    </row>
    <row r="44" spans="1:28" x14ac:dyDescent="0.45">
      <c r="A44" t="s">
        <v>18</v>
      </c>
      <c r="B44" t="s">
        <v>17</v>
      </c>
      <c r="C44" s="1">
        <v>1.5</v>
      </c>
      <c r="D44">
        <v>150</v>
      </c>
      <c r="E44">
        <v>120</v>
      </c>
      <c r="F44" t="s">
        <v>17</v>
      </c>
      <c r="G44">
        <v>150</v>
      </c>
      <c r="H44" t="s">
        <v>15</v>
      </c>
      <c r="I44">
        <f t="shared" si="0"/>
        <v>22500</v>
      </c>
      <c r="J44">
        <v>2.33</v>
      </c>
      <c r="K44">
        <v>80</v>
      </c>
      <c r="L44">
        <v>20</v>
      </c>
      <c r="M44">
        <v>490</v>
      </c>
      <c r="O44">
        <v>0.64500000000000002</v>
      </c>
      <c r="Q44" s="5">
        <f t="shared" si="7"/>
        <v>2.9323312024716599</v>
      </c>
      <c r="R44" s="2">
        <f>(0.18/1.5*MIN((1+SQRT(200/E44)),2)*(MIN(J44,2)*(K44-8))^(1/3))</f>
        <v>1.2579558692202704</v>
      </c>
      <c r="S44" s="2">
        <f>E44/1.15*IF(F44="k",(G44+4*E44)*PI(),IF(F44="q",4*G44+4*E44*PI(),2*G44+2*H44+4*E44*PI()))</f>
        <v>219961.51030154095</v>
      </c>
      <c r="T44" s="2">
        <f t="shared" si="8"/>
        <v>0.27670187288637843</v>
      </c>
      <c r="U44" s="4">
        <f t="shared" si="9"/>
        <v>2.3310286745505882</v>
      </c>
      <c r="V44" s="4"/>
      <c r="W44" s="4"/>
      <c r="X44" s="3"/>
      <c r="Y44" s="3"/>
      <c r="AB44" s="3"/>
    </row>
    <row r="45" spans="1:28" x14ac:dyDescent="0.45">
      <c r="A45" t="s">
        <v>18</v>
      </c>
      <c r="B45" t="s">
        <v>17</v>
      </c>
      <c r="C45" s="1">
        <v>1.5</v>
      </c>
      <c r="D45">
        <v>120</v>
      </c>
      <c r="E45">
        <v>95</v>
      </c>
      <c r="F45" t="s">
        <v>17</v>
      </c>
      <c r="G45">
        <v>220</v>
      </c>
      <c r="H45" t="s">
        <v>15</v>
      </c>
      <c r="I45">
        <f t="shared" si="0"/>
        <v>48400</v>
      </c>
      <c r="J45">
        <v>1.47</v>
      </c>
      <c r="K45">
        <v>72</v>
      </c>
      <c r="L45">
        <v>20</v>
      </c>
      <c r="M45">
        <v>490</v>
      </c>
      <c r="O45">
        <v>0.498</v>
      </c>
      <c r="Q45" s="5">
        <f t="shared" si="7"/>
        <v>2.9069369815051118</v>
      </c>
      <c r="R45" s="2">
        <f>(0.18/1.5*MIN((1+SQRT(200/E45)),2)*(MIN(J45,2)*(K45-8))^(1/3))</f>
        <v>1.0915501105349703</v>
      </c>
      <c r="S45" s="2">
        <f>E45/1.15*IF(F45="k",(G45+4*E45)*PI(),IF(F45="q",4*G45+4*E45*PI(),2*G45+2*H45+4*E45*PI()))</f>
        <v>171314.34329964482</v>
      </c>
      <c r="T45" s="2">
        <f t="shared" si="8"/>
        <v>0.18699819036495316</v>
      </c>
      <c r="U45" s="4">
        <f t="shared" si="9"/>
        <v>2.663127375875046</v>
      </c>
      <c r="V45" s="4"/>
      <c r="W45" s="4"/>
      <c r="X45" s="3"/>
      <c r="Y45" s="3"/>
      <c r="AB45" s="3"/>
    </row>
    <row r="46" spans="1:28" x14ac:dyDescent="0.45">
      <c r="A46" t="s">
        <v>18</v>
      </c>
      <c r="B46" t="s">
        <v>17</v>
      </c>
      <c r="C46" s="1">
        <v>1.5</v>
      </c>
      <c r="D46">
        <v>120</v>
      </c>
      <c r="E46">
        <v>95</v>
      </c>
      <c r="F46" t="s">
        <v>17</v>
      </c>
      <c r="G46">
        <v>300</v>
      </c>
      <c r="H46" t="s">
        <v>15</v>
      </c>
      <c r="I46">
        <f t="shared" si="0"/>
        <v>90000</v>
      </c>
      <c r="J46">
        <v>1.47</v>
      </c>
      <c r="K46">
        <v>71</v>
      </c>
      <c r="L46">
        <v>20</v>
      </c>
      <c r="M46">
        <v>490</v>
      </c>
      <c r="O46">
        <v>0.56000000000000005</v>
      </c>
      <c r="Q46" s="5">
        <f t="shared" si="7"/>
        <v>2.831870924474114</v>
      </c>
      <c r="R46" s="2">
        <f>(0.18/1.5*MIN((1+SQRT(200/E46)),2)*(MIN(J46,2)*(K46-8))^(1/3))</f>
        <v>1.0858350837760693</v>
      </c>
      <c r="S46" s="2">
        <f>E46/1.15*IF(F46="k",(G46+4*E46)*PI(),IF(F46="q",4*G46+4*E46*PI(),2*G46+2*H46+4*E46*PI()))</f>
        <v>197749.12590834047</v>
      </c>
      <c r="T46" s="2">
        <f t="shared" si="8"/>
        <v>0.21472293869732736</v>
      </c>
      <c r="U46" s="4">
        <f t="shared" si="9"/>
        <v>2.608011996284076</v>
      </c>
      <c r="V46" s="4"/>
      <c r="W46" s="4"/>
      <c r="X46" s="3"/>
      <c r="Y46" s="3"/>
      <c r="AB46" s="3"/>
    </row>
    <row r="47" spans="1:28" x14ac:dyDescent="0.45">
      <c r="A47" t="s">
        <v>18</v>
      </c>
      <c r="B47" t="s">
        <v>17</v>
      </c>
      <c r="C47" s="1">
        <v>1.5</v>
      </c>
      <c r="D47">
        <v>120</v>
      </c>
      <c r="E47">
        <v>95</v>
      </c>
      <c r="F47" t="s">
        <v>17</v>
      </c>
      <c r="G47">
        <v>150</v>
      </c>
      <c r="H47" t="s">
        <v>15</v>
      </c>
      <c r="I47">
        <f t="shared" si="0"/>
        <v>22500</v>
      </c>
      <c r="J47">
        <v>1.47</v>
      </c>
      <c r="K47">
        <v>42</v>
      </c>
      <c r="L47">
        <v>20</v>
      </c>
      <c r="M47">
        <v>490</v>
      </c>
      <c r="O47">
        <v>0.32</v>
      </c>
      <c r="Q47" s="5">
        <f t="shared" si="7"/>
        <v>2.1594787396447361</v>
      </c>
      <c r="R47" s="2">
        <f>(0.18/1.5*MIN((1+SQRT(200/E47)),2)*(MIN(J47,2)*(K47-8))^(1/3))</f>
        <v>0.8840496549437078</v>
      </c>
      <c r="S47" s="2">
        <f>E47/1.15*IF(F47="k",(G47+4*E47)*PI(),IF(F47="q",4*G47+4*E47*PI(),2*G47+2*H47+4*E47*PI()))</f>
        <v>148183.90851703612</v>
      </c>
      <c r="T47" s="2">
        <f t="shared" si="8"/>
        <v>0.13100193319269576</v>
      </c>
      <c r="U47" s="4">
        <f t="shared" si="9"/>
        <v>2.4427120440222798</v>
      </c>
      <c r="V47" s="4"/>
      <c r="W47" s="4"/>
      <c r="X47" s="3"/>
      <c r="Y47" s="3"/>
      <c r="AB47" s="3"/>
    </row>
    <row r="48" spans="1:28" x14ac:dyDescent="0.45">
      <c r="A48" t="s">
        <v>14</v>
      </c>
      <c r="B48" t="s">
        <v>14</v>
      </c>
      <c r="C48" s="1">
        <v>0.40600000000000003</v>
      </c>
      <c r="D48">
        <v>102</v>
      </c>
      <c r="E48">
        <v>83</v>
      </c>
      <c r="F48" t="s">
        <v>14</v>
      </c>
      <c r="G48">
        <v>102</v>
      </c>
      <c r="H48" t="s">
        <v>15</v>
      </c>
      <c r="I48">
        <f t="shared" si="0"/>
        <v>8171.2824919870518</v>
      </c>
      <c r="J48">
        <v>1.75</v>
      </c>
      <c r="K48">
        <v>38.700000000000003</v>
      </c>
      <c r="L48">
        <v>19</v>
      </c>
      <c r="M48">
        <v>531</v>
      </c>
      <c r="O48">
        <v>0.20399999999999999</v>
      </c>
      <c r="Q48" s="5">
        <f t="shared" si="7"/>
        <v>2.0730525595113343</v>
      </c>
      <c r="R48" s="2">
        <f>(0.18/1.5*MIN((1+SQRT(200/E48)),2)*(MIN(J48,2)*(K48-8))^(1/3))</f>
        <v>0.90560063096427879</v>
      </c>
      <c r="S48" s="2">
        <f>E48/1.15*IF(F48="k",(G48+4*E48)*PI(),IF(F48="q",4*G48+4*E48*PI(),2*G48+2*H48+4*E48*PI()))</f>
        <v>98405.609189227413</v>
      </c>
      <c r="T48" s="2">
        <f t="shared" si="8"/>
        <v>8.911618177218858E-2</v>
      </c>
      <c r="U48" s="4">
        <f t="shared" si="9"/>
        <v>2.2891465494055132</v>
      </c>
      <c r="V48" s="4"/>
      <c r="W48" s="4"/>
      <c r="X48" s="3"/>
      <c r="Y48" s="3"/>
      <c r="AB48" s="3"/>
    </row>
    <row r="49" spans="1:28" x14ac:dyDescent="0.45">
      <c r="A49" t="s">
        <v>14</v>
      </c>
      <c r="B49" t="s">
        <v>14</v>
      </c>
      <c r="C49" s="1">
        <v>0.61</v>
      </c>
      <c r="D49">
        <v>102</v>
      </c>
      <c r="E49">
        <v>83</v>
      </c>
      <c r="F49" t="s">
        <v>14</v>
      </c>
      <c r="G49">
        <v>102</v>
      </c>
      <c r="H49" t="s">
        <v>15</v>
      </c>
      <c r="I49">
        <f t="shared" si="0"/>
        <v>8171.2824919870518</v>
      </c>
      <c r="J49">
        <v>1.75</v>
      </c>
      <c r="K49">
        <v>38.700000000000003</v>
      </c>
      <c r="L49">
        <v>19</v>
      </c>
      <c r="M49">
        <v>531</v>
      </c>
      <c r="O49">
        <v>0.14899999999999999</v>
      </c>
      <c r="Q49" s="5">
        <f t="shared" si="7"/>
        <v>1.514141330231318</v>
      </c>
      <c r="R49" s="2">
        <f>(0.18/1.5*MIN((1+SQRT(200/E49)),2)*(MIN(J49,2)*(K49-8))^(1/3))</f>
        <v>0.90560063096427879</v>
      </c>
      <c r="S49" s="2">
        <f>E49/1.15*IF(F49="k",(G49+4*E49)*PI(),IF(F49="q",4*G49+4*E49*PI(),2*G49+2*H49+4*E49*PI()))</f>
        <v>98405.609189227413</v>
      </c>
      <c r="T49" s="2">
        <f t="shared" si="8"/>
        <v>8.911618177218858E-2</v>
      </c>
      <c r="U49" s="4">
        <f t="shared" si="9"/>
        <v>1.6719746855952033</v>
      </c>
      <c r="V49" s="4"/>
      <c r="W49" s="4"/>
      <c r="X49" s="3"/>
      <c r="Y49" s="3"/>
      <c r="AB49" s="3"/>
    </row>
    <row r="50" spans="1:28" x14ac:dyDescent="0.45">
      <c r="A50" t="s">
        <v>14</v>
      </c>
      <c r="B50" t="s">
        <v>14</v>
      </c>
      <c r="C50" s="1">
        <v>0.81299999999999994</v>
      </c>
      <c r="D50">
        <v>102</v>
      </c>
      <c r="E50">
        <v>83</v>
      </c>
      <c r="F50" t="s">
        <v>14</v>
      </c>
      <c r="G50">
        <v>102</v>
      </c>
      <c r="H50" t="s">
        <v>15</v>
      </c>
      <c r="I50">
        <f t="shared" si="0"/>
        <v>8171.2824919870518</v>
      </c>
      <c r="J50">
        <v>1.75</v>
      </c>
      <c r="K50">
        <v>38.700000000000003</v>
      </c>
      <c r="L50">
        <v>19</v>
      </c>
      <c r="M50">
        <v>531</v>
      </c>
      <c r="O50">
        <v>0.129</v>
      </c>
      <c r="Q50" s="5">
        <f t="shared" si="7"/>
        <v>1.3109008832204028</v>
      </c>
      <c r="R50" s="2">
        <f>(0.18/1.5*MIN((1+SQRT(200/E50)),2)*(MIN(J50,2)*(K50-8))^(1/3))</f>
        <v>0.90560063096427879</v>
      </c>
      <c r="S50" s="2">
        <f>E50/1.15*IF(F50="k",(G50+4*E50)*PI(),IF(F50="q",4*G50+4*E50*PI(),2*G50+2*H50+4*E50*PI()))</f>
        <v>98405.609189227413</v>
      </c>
      <c r="T50" s="2">
        <f t="shared" si="8"/>
        <v>8.911618177218858E-2</v>
      </c>
      <c r="U50" s="4">
        <f t="shared" si="9"/>
        <v>1.4475485533005452</v>
      </c>
      <c r="V50" s="4"/>
      <c r="W50" s="4"/>
      <c r="X50" s="3"/>
      <c r="Y50" s="3"/>
      <c r="AB50" s="3"/>
    </row>
    <row r="51" spans="1:28" x14ac:dyDescent="0.45">
      <c r="A51" t="s">
        <v>14</v>
      </c>
      <c r="B51" t="s">
        <v>14</v>
      </c>
      <c r="C51" s="1">
        <v>1.2190000000000001</v>
      </c>
      <c r="D51">
        <v>102</v>
      </c>
      <c r="E51">
        <v>83</v>
      </c>
      <c r="F51" t="s">
        <v>14</v>
      </c>
      <c r="G51">
        <v>102</v>
      </c>
      <c r="H51" t="s">
        <v>15</v>
      </c>
      <c r="I51">
        <f t="shared" si="0"/>
        <v>8171.2824919870518</v>
      </c>
      <c r="J51">
        <v>1.75</v>
      </c>
      <c r="K51">
        <v>38.700000000000003</v>
      </c>
      <c r="L51">
        <v>19</v>
      </c>
      <c r="M51">
        <v>531</v>
      </c>
      <c r="O51">
        <v>0.13900000000000001</v>
      </c>
      <c r="Q51" s="5">
        <f t="shared" si="7"/>
        <v>1.4125211067258605</v>
      </c>
      <c r="R51" s="2">
        <f>(0.18/1.5*MIN((1+SQRT(200/E51)),2)*(MIN(J51,2)*(K51-8))^(1/3))</f>
        <v>0.90560063096427879</v>
      </c>
      <c r="S51" s="2">
        <f>E51/1.15*IF(F51="k",(G51+4*E51)*PI(),IF(F51="q",4*G51+4*E51*PI(),2*G51+2*H51+4*E51*PI()))</f>
        <v>98405.609189227413</v>
      </c>
      <c r="T51" s="2">
        <f t="shared" si="8"/>
        <v>8.911618177218858E-2</v>
      </c>
      <c r="U51" s="4">
        <f t="shared" si="9"/>
        <v>1.5597616194478745</v>
      </c>
      <c r="V51" s="4"/>
      <c r="W51" s="4"/>
      <c r="X51" s="3"/>
      <c r="Y51" s="3"/>
      <c r="AB51" s="3"/>
    </row>
    <row r="52" spans="1:28" x14ac:dyDescent="0.45">
      <c r="A52" t="s">
        <v>14</v>
      </c>
      <c r="B52" t="s">
        <v>14</v>
      </c>
      <c r="C52" s="1">
        <v>2.38</v>
      </c>
      <c r="D52">
        <v>240</v>
      </c>
      <c r="E52">
        <v>200</v>
      </c>
      <c r="F52" t="s">
        <v>14</v>
      </c>
      <c r="G52">
        <v>250</v>
      </c>
      <c r="H52" t="s">
        <v>15</v>
      </c>
      <c r="I52">
        <f t="shared" si="0"/>
        <v>49087.385212340516</v>
      </c>
      <c r="J52">
        <v>0.8</v>
      </c>
      <c r="K52">
        <v>23.9</v>
      </c>
      <c r="L52">
        <v>32</v>
      </c>
      <c r="M52">
        <v>657</v>
      </c>
      <c r="O52">
        <v>0.60299999999999998</v>
      </c>
      <c r="Q52" s="5">
        <f t="shared" si="7"/>
        <v>1.0511047170197603</v>
      </c>
      <c r="R52" s="2">
        <f>(0.18/1.5*MIN((1+SQRT(200/E52)),2)*(MIN(J52,2)*(K52-8))^(1/3))</f>
        <v>0.56023935346402187</v>
      </c>
      <c r="S52" s="2">
        <f>E52/1.15*IF(F52="k",(G52+4*E52)*PI(),IF(F52="q",4*G52+4*E52*PI(),2*G52+2*H52+4*E52*PI()))</f>
        <v>573682.13674248394</v>
      </c>
      <c r="T52" s="2">
        <f t="shared" si="8"/>
        <v>0.32139930938246775</v>
      </c>
      <c r="U52" s="4">
        <f t="shared" si="9"/>
        <v>1.8761708018557848</v>
      </c>
      <c r="V52" s="4"/>
      <c r="W52" s="4"/>
      <c r="X52" s="3"/>
      <c r="Y52" s="3"/>
      <c r="AB52" s="3"/>
    </row>
    <row r="53" spans="1:28" x14ac:dyDescent="0.45">
      <c r="A53" t="s">
        <v>14</v>
      </c>
      <c r="B53" t="s">
        <v>14</v>
      </c>
      <c r="C53" s="1">
        <v>2.38</v>
      </c>
      <c r="D53">
        <v>240</v>
      </c>
      <c r="E53">
        <v>199</v>
      </c>
      <c r="F53" t="s">
        <v>14</v>
      </c>
      <c r="G53">
        <v>250</v>
      </c>
      <c r="H53" t="s">
        <v>15</v>
      </c>
      <c r="I53">
        <f t="shared" si="0"/>
        <v>49087.385212340516</v>
      </c>
      <c r="J53">
        <v>0.8</v>
      </c>
      <c r="K53">
        <v>22.6</v>
      </c>
      <c r="L53">
        <v>32</v>
      </c>
      <c r="M53">
        <v>670</v>
      </c>
      <c r="O53">
        <v>0.6</v>
      </c>
      <c r="Q53" s="5">
        <f t="shared" si="7"/>
        <v>1.0551506166915627</v>
      </c>
      <c r="R53" s="2">
        <f>(0.18/1.5*MIN((1+SQRT(200/E53)),2)*(MIN(J53,2)*(K53-8))^(1/3))</f>
        <v>0.54453465313837512</v>
      </c>
      <c r="S53" s="2">
        <f>E53/1.15*IF(F53="k",(G53+4*E53)*PI(),IF(F53="q",4*G53+4*E53*PI(),2*G53+2*H53+4*E53*PI()))</f>
        <v>568639.19757854776</v>
      </c>
      <c r="T53" s="2">
        <f t="shared" si="8"/>
        <v>0.30964374821431845</v>
      </c>
      <c r="U53" s="4">
        <f t="shared" si="9"/>
        <v>1.9377106867493181</v>
      </c>
      <c r="V53" s="4"/>
      <c r="W53" s="4"/>
      <c r="X53" s="3"/>
      <c r="Y53" s="3"/>
      <c r="AB53" s="3"/>
    </row>
    <row r="54" spans="1:28" x14ac:dyDescent="0.45">
      <c r="A54" t="s">
        <v>14</v>
      </c>
      <c r="B54" t="s">
        <v>14</v>
      </c>
      <c r="C54" s="1">
        <v>2.38</v>
      </c>
      <c r="D54">
        <v>240</v>
      </c>
      <c r="E54">
        <v>200</v>
      </c>
      <c r="F54" t="s">
        <v>14</v>
      </c>
      <c r="G54">
        <v>250</v>
      </c>
      <c r="H54" t="s">
        <v>15</v>
      </c>
      <c r="I54">
        <f t="shared" si="0"/>
        <v>49087.385212340516</v>
      </c>
      <c r="J54">
        <v>0.34</v>
      </c>
      <c r="K54">
        <v>25</v>
      </c>
      <c r="L54">
        <v>32</v>
      </c>
      <c r="M54">
        <v>668</v>
      </c>
      <c r="O54">
        <v>0.48899999999999999</v>
      </c>
      <c r="Q54" s="5">
        <f t="shared" si="7"/>
        <v>0.85238840235930802</v>
      </c>
      <c r="R54" s="2">
        <f>(0.18/1.5*MIN((1+SQRT(200/E54)),2)*(MIN(J54,2)*(K54-8))^(1/3))</f>
        <v>0.43071221432702433</v>
      </c>
      <c r="S54" s="2">
        <f>E54/1.15*IF(F54="k",(G54+4*E54)*PI(),IF(F54="q",4*G54+4*E54*PI(),2*G54+2*H54+4*E54*PI()))</f>
        <v>573682.13674248394</v>
      </c>
      <c r="T54" s="2">
        <f t="shared" si="8"/>
        <v>0.24709190343621401</v>
      </c>
      <c r="U54" s="4">
        <f t="shared" si="9"/>
        <v>1.9790207335799401</v>
      </c>
      <c r="V54" s="4"/>
      <c r="W54" s="4"/>
      <c r="X54" s="3"/>
      <c r="Y54" s="3"/>
      <c r="AB54" s="3"/>
    </row>
    <row r="55" spans="1:28" x14ac:dyDescent="0.45">
      <c r="A55" t="s">
        <v>14</v>
      </c>
      <c r="B55" t="s">
        <v>14</v>
      </c>
      <c r="C55" s="1">
        <v>2.38</v>
      </c>
      <c r="D55">
        <v>240</v>
      </c>
      <c r="E55">
        <v>197</v>
      </c>
      <c r="F55" t="s">
        <v>14</v>
      </c>
      <c r="G55">
        <v>250</v>
      </c>
      <c r="H55" t="s">
        <v>15</v>
      </c>
      <c r="I55">
        <f t="shared" si="0"/>
        <v>49087.385212340516</v>
      </c>
      <c r="J55">
        <v>0.35</v>
      </c>
      <c r="K55">
        <v>23.8</v>
      </c>
      <c r="L55">
        <v>32</v>
      </c>
      <c r="M55">
        <v>664</v>
      </c>
      <c r="O55">
        <v>0.44400000000000001</v>
      </c>
      <c r="Q55" s="5">
        <f t="shared" si="7"/>
        <v>0.7948173854711007</v>
      </c>
      <c r="R55" s="2">
        <f>(0.18/1.5*MIN((1+SQRT(200/E55)),2)*(MIN(J55,2)*(K55-8))^(1/3))</f>
        <v>0.42441066181745701</v>
      </c>
      <c r="S55" s="2">
        <f>E55/1.15*IF(F55="k",(G55+4*E55)*PI(),IF(F55="q",4*G55+4*E55*PI(),2*G55+2*H55+4*E55*PI()))</f>
        <v>558618.88292344566</v>
      </c>
      <c r="T55" s="2">
        <f t="shared" si="8"/>
        <v>0.23708380980526811</v>
      </c>
      <c r="U55" s="4">
        <f t="shared" si="9"/>
        <v>1.872755462992961</v>
      </c>
      <c r="V55" s="4"/>
      <c r="W55" s="4"/>
      <c r="X55" s="3"/>
      <c r="Y55" s="3"/>
      <c r="AB55" s="3"/>
    </row>
    <row r="56" spans="1:28" x14ac:dyDescent="0.45">
      <c r="A56" t="s">
        <v>14</v>
      </c>
      <c r="B56" t="s">
        <v>14</v>
      </c>
      <c r="C56" s="1">
        <v>1.19</v>
      </c>
      <c r="D56">
        <v>120</v>
      </c>
      <c r="E56">
        <v>100</v>
      </c>
      <c r="F56" t="s">
        <v>14</v>
      </c>
      <c r="G56">
        <v>125</v>
      </c>
      <c r="H56" t="s">
        <v>15</v>
      </c>
      <c r="I56">
        <f t="shared" si="0"/>
        <v>12271.846303085129</v>
      </c>
      <c r="J56">
        <v>0.8</v>
      </c>
      <c r="K56">
        <v>28.2</v>
      </c>
      <c r="L56">
        <v>16</v>
      </c>
      <c r="M56">
        <v>706</v>
      </c>
      <c r="O56">
        <v>0.216</v>
      </c>
      <c r="Q56" s="5">
        <f t="shared" si="7"/>
        <v>1.506060490058164</v>
      </c>
      <c r="R56" s="2">
        <f>(0.18/1.5*MIN((1+SQRT(200/E56)),2)*(MIN(J56,2)*(K56-8))^(1/3))</f>
        <v>0.60677129513436989</v>
      </c>
      <c r="S56" s="2">
        <f>E56/1.15*IF(F56="k",(G56+4*E56)*PI(),IF(F56="q",4*G56+4*E56*PI(),2*G56+2*H56+4*E56*PI()))</f>
        <v>143420.53418562099</v>
      </c>
      <c r="T56" s="2">
        <f t="shared" si="8"/>
        <v>8.702346327667243E-2</v>
      </c>
      <c r="U56" s="4">
        <f t="shared" si="9"/>
        <v>2.4820892190106747</v>
      </c>
      <c r="V56" s="4"/>
      <c r="W56" s="4"/>
      <c r="X56" s="3"/>
      <c r="Y56" s="3"/>
      <c r="AB56" s="3"/>
    </row>
    <row r="57" spans="1:28" x14ac:dyDescent="0.45">
      <c r="A57" t="s">
        <v>14</v>
      </c>
      <c r="B57" t="s">
        <v>14</v>
      </c>
      <c r="C57" s="1">
        <v>1.19</v>
      </c>
      <c r="D57">
        <v>120</v>
      </c>
      <c r="E57">
        <v>99</v>
      </c>
      <c r="F57" t="s">
        <v>14</v>
      </c>
      <c r="G57">
        <v>125</v>
      </c>
      <c r="H57" t="s">
        <v>15</v>
      </c>
      <c r="I57">
        <f t="shared" si="0"/>
        <v>12271.846303085129</v>
      </c>
      <c r="J57">
        <v>0.81</v>
      </c>
      <c r="K57">
        <v>22.6</v>
      </c>
      <c r="L57">
        <v>16</v>
      </c>
      <c r="M57">
        <v>701</v>
      </c>
      <c r="O57">
        <v>0.19400000000000001</v>
      </c>
      <c r="Q57" s="5">
        <f t="shared" si="7"/>
        <v>1.3768187752303012</v>
      </c>
      <c r="R57" s="2">
        <f>(0.18/1.5*MIN((1+SQRT(200/E57)),2)*(MIN(J57,2)*(K57-8))^(1/3))</f>
        <v>0.54679415890859007</v>
      </c>
      <c r="S57" s="2">
        <f>E57/1.15*IF(F57="k",(G57+4*E57)*PI(),IF(F57="q",4*G57+4*E57*PI(),2*G57+2*H57+4*E57*PI()))</f>
        <v>140904.52824305039</v>
      </c>
      <c r="T57" s="2">
        <f t="shared" si="8"/>
        <v>7.7045773007070412E-2</v>
      </c>
      <c r="U57" s="4">
        <f t="shared" si="9"/>
        <v>2.517983692397983</v>
      </c>
      <c r="V57" s="4"/>
      <c r="W57" s="4"/>
      <c r="X57" s="3"/>
      <c r="Y57" s="3"/>
      <c r="AB57" s="3"/>
    </row>
    <row r="58" spans="1:28" x14ac:dyDescent="0.45">
      <c r="A58" t="s">
        <v>14</v>
      </c>
      <c r="B58" t="s">
        <v>14</v>
      </c>
      <c r="C58" s="1">
        <v>1.19</v>
      </c>
      <c r="D58">
        <v>120</v>
      </c>
      <c r="E58">
        <v>98</v>
      </c>
      <c r="F58" t="s">
        <v>14</v>
      </c>
      <c r="G58">
        <v>125</v>
      </c>
      <c r="H58" t="s">
        <v>15</v>
      </c>
      <c r="I58">
        <f t="shared" si="0"/>
        <v>12271.846303085129</v>
      </c>
      <c r="J58">
        <v>0.35</v>
      </c>
      <c r="K58">
        <v>26.3</v>
      </c>
      <c r="L58">
        <v>16</v>
      </c>
      <c r="M58">
        <v>720</v>
      </c>
      <c r="O58">
        <v>0.14499999999999999</v>
      </c>
      <c r="Q58" s="5">
        <f t="shared" si="7"/>
        <v>1.0476093143557237</v>
      </c>
      <c r="R58" s="2">
        <f>(0.18/1.5*MIN((1+SQRT(200/E58)),2)*(MIN(J58,2)*(K58-8))^(1/3))</f>
        <v>0.44570853754209866</v>
      </c>
      <c r="S58" s="2">
        <f>E58/1.15*IF(F58="k",(G58+4*E58)*PI(),IF(F58="q",4*G58+4*E58*PI(),2*G58+2*H58+4*E58*PI()))</f>
        <v>138410.37685806997</v>
      </c>
      <c r="T58" s="2">
        <f t="shared" si="8"/>
        <v>6.1690686650061097E-2</v>
      </c>
      <c r="U58" s="4">
        <f t="shared" si="9"/>
        <v>2.3504358254676094</v>
      </c>
      <c r="V58" s="4"/>
      <c r="W58" s="4"/>
      <c r="X58" s="3"/>
      <c r="Y58" s="3"/>
      <c r="AB58" s="3"/>
    </row>
    <row r="59" spans="1:28" x14ac:dyDescent="0.45">
      <c r="A59" t="s">
        <v>14</v>
      </c>
      <c r="B59" t="s">
        <v>14</v>
      </c>
      <c r="C59" s="1">
        <v>1.19</v>
      </c>
      <c r="D59">
        <v>120</v>
      </c>
      <c r="E59">
        <v>99</v>
      </c>
      <c r="F59" t="s">
        <v>14</v>
      </c>
      <c r="G59">
        <v>125</v>
      </c>
      <c r="H59" t="s">
        <v>15</v>
      </c>
      <c r="I59">
        <f t="shared" si="0"/>
        <v>12271.846303085129</v>
      </c>
      <c r="J59">
        <v>0.34</v>
      </c>
      <c r="K59">
        <v>24.8</v>
      </c>
      <c r="L59">
        <v>16</v>
      </c>
      <c r="M59">
        <v>712</v>
      </c>
      <c r="O59">
        <v>0.14799999999999999</v>
      </c>
      <c r="Q59" s="5">
        <f t="shared" si="7"/>
        <v>1.050356591412807</v>
      </c>
      <c r="R59" s="2">
        <f>(0.18/1.5*MIN((1+SQRT(200/E59)),2)*(MIN(J59,2)*(K59-8))^(1/3))</f>
        <v>0.42901647939043386</v>
      </c>
      <c r="S59" s="2">
        <f>E59/1.15*IF(F59="k",(G59+4*E59)*PI(),IF(F59="q",4*G59+4*E59*PI(),2*G59+2*H59+4*E59*PI()))</f>
        <v>140904.52824305039</v>
      </c>
      <c r="T59" s="2">
        <f t="shared" si="8"/>
        <v>6.0450364637003436E-2</v>
      </c>
      <c r="U59" s="4">
        <f t="shared" si="9"/>
        <v>2.4482896155998515</v>
      </c>
      <c r="V59" s="4"/>
      <c r="W59" s="4"/>
      <c r="X59" s="3"/>
      <c r="Y59" s="3"/>
      <c r="AB59" s="3"/>
    </row>
    <row r="60" spans="1:28" x14ac:dyDescent="0.45">
      <c r="A60" t="s">
        <v>18</v>
      </c>
      <c r="B60" t="s">
        <v>17</v>
      </c>
      <c r="C60" s="1">
        <v>1.83</v>
      </c>
      <c r="D60">
        <v>100</v>
      </c>
      <c r="E60">
        <v>77</v>
      </c>
      <c r="F60" t="s">
        <v>17</v>
      </c>
      <c r="G60">
        <v>200</v>
      </c>
      <c r="H60" t="s">
        <v>15</v>
      </c>
      <c r="I60">
        <f t="shared" si="0"/>
        <v>40000</v>
      </c>
      <c r="J60">
        <v>1.2</v>
      </c>
      <c r="K60">
        <v>23.1</v>
      </c>
      <c r="L60">
        <v>10</v>
      </c>
      <c r="M60">
        <v>500</v>
      </c>
      <c r="O60">
        <v>0.17599999999999999</v>
      </c>
      <c r="Q60" s="5">
        <f t="shared" si="7"/>
        <v>1.4870761251390381</v>
      </c>
      <c r="R60" s="2">
        <f>(0.18/1.5*MIN((1+SQRT(200/E60)),2)*(MIN(J60,2)*(K60-8))^(1/3))</f>
        <v>0.63037256874289893</v>
      </c>
      <c r="S60" s="2">
        <f>E60/1.15*IF(F60="k",(G60+4*E60)*PI(),IF(F60="q",4*G60+4*E60*PI(),2*G60+2*H60+4*E60*PI()))</f>
        <v>118353.0533674222</v>
      </c>
      <c r="T60" s="2">
        <f t="shared" si="8"/>
        <v>7.4606518269787342E-2</v>
      </c>
      <c r="U60" s="4">
        <f t="shared" si="9"/>
        <v>2.359043205361226</v>
      </c>
      <c r="V60" s="4"/>
      <c r="W60" s="4"/>
      <c r="X60" s="3"/>
      <c r="Y60" s="3"/>
      <c r="AB60" s="3"/>
    </row>
    <row r="61" spans="1:28" x14ac:dyDescent="0.45">
      <c r="A61" t="s">
        <v>18</v>
      </c>
      <c r="B61" t="s">
        <v>17</v>
      </c>
      <c r="C61" s="1">
        <v>1.83</v>
      </c>
      <c r="D61">
        <v>100</v>
      </c>
      <c r="E61">
        <v>77</v>
      </c>
      <c r="F61" t="s">
        <v>17</v>
      </c>
      <c r="G61">
        <v>200</v>
      </c>
      <c r="H61" t="s">
        <v>15</v>
      </c>
      <c r="I61">
        <f t="shared" si="0"/>
        <v>40000</v>
      </c>
      <c r="J61">
        <v>0.92</v>
      </c>
      <c r="K61">
        <v>31.9</v>
      </c>
      <c r="L61">
        <v>10</v>
      </c>
      <c r="M61">
        <v>500</v>
      </c>
      <c r="O61">
        <v>0.19400000000000001</v>
      </c>
      <c r="Q61" s="5">
        <f t="shared" si="7"/>
        <v>1.6391634561191673</v>
      </c>
      <c r="R61" s="2">
        <f>(0.18/1.5*MIN((1+SQRT(200/E61)),2)*(MIN(J61,2)*(K61-8))^(1/3))</f>
        <v>0.67236714631234207</v>
      </c>
      <c r="S61" s="2">
        <f>E61/1.15*IF(F61="k",(G61+4*E61)*PI(),IF(F61="q",4*G61+4*E61*PI(),2*G61+2*H61+4*E61*PI()))</f>
        <v>118353.0533674222</v>
      </c>
      <c r="T61" s="2">
        <f t="shared" si="8"/>
        <v>7.9576704750005986E-2</v>
      </c>
      <c r="U61" s="4">
        <f t="shared" si="9"/>
        <v>2.4378993903989898</v>
      </c>
      <c r="V61" s="4"/>
      <c r="W61" s="4"/>
      <c r="X61" s="3"/>
      <c r="Y61" s="3"/>
      <c r="AB61" s="3"/>
    </row>
    <row r="62" spans="1:28" x14ac:dyDescent="0.45">
      <c r="A62" t="s">
        <v>18</v>
      </c>
      <c r="B62" t="s">
        <v>17</v>
      </c>
      <c r="C62" s="1">
        <v>1.83</v>
      </c>
      <c r="D62">
        <v>100</v>
      </c>
      <c r="E62">
        <v>79</v>
      </c>
      <c r="F62" t="s">
        <v>17</v>
      </c>
      <c r="G62">
        <v>200</v>
      </c>
      <c r="H62" t="s">
        <v>15</v>
      </c>
      <c r="I62">
        <f t="shared" si="0"/>
        <v>40000</v>
      </c>
      <c r="J62">
        <v>0.75</v>
      </c>
      <c r="K62">
        <v>21.6</v>
      </c>
      <c r="L62">
        <v>10</v>
      </c>
      <c r="M62">
        <v>480</v>
      </c>
      <c r="O62">
        <v>0.16500000000000001</v>
      </c>
      <c r="Q62" s="5">
        <f t="shared" si="7"/>
        <v>1.33978956325573</v>
      </c>
      <c r="R62" s="2">
        <f>(0.18/1.5*MIN((1+SQRT(200/E62)),2)*(MIN(J62,2)*(K62-8))^(1/3))</f>
        <v>0.52048869246004725</v>
      </c>
      <c r="S62" s="2">
        <f>E62/1.15*IF(F62="k",(G62+4*E62)*PI(),IF(F62="q",4*G62+4*E62*PI(),2*G62+2*H62+4*E62*PI()))</f>
        <v>123153.66869931792</v>
      </c>
      <c r="T62" s="2">
        <f t="shared" si="8"/>
        <v>6.4100091992965832E-2</v>
      </c>
      <c r="U62" s="4">
        <f t="shared" si="9"/>
        <v>2.5740992699059877</v>
      </c>
      <c r="V62" s="4"/>
      <c r="W62" s="4"/>
      <c r="X62" s="3"/>
      <c r="Y62" s="3"/>
      <c r="AB62" s="3"/>
    </row>
    <row r="63" spans="1:28" x14ac:dyDescent="0.45">
      <c r="A63" t="s">
        <v>18</v>
      </c>
      <c r="B63" t="s">
        <v>17</v>
      </c>
      <c r="C63" s="1">
        <v>1.83</v>
      </c>
      <c r="D63">
        <v>100</v>
      </c>
      <c r="E63">
        <v>79</v>
      </c>
      <c r="F63" t="s">
        <v>17</v>
      </c>
      <c r="G63">
        <v>200</v>
      </c>
      <c r="H63" t="s">
        <v>15</v>
      </c>
      <c r="I63">
        <f t="shared" si="0"/>
        <v>40000</v>
      </c>
      <c r="J63">
        <v>0.8</v>
      </c>
      <c r="K63">
        <v>30</v>
      </c>
      <c r="L63">
        <v>10</v>
      </c>
      <c r="M63">
        <v>480</v>
      </c>
      <c r="O63">
        <v>0.16500000000000001</v>
      </c>
      <c r="Q63" s="5">
        <f t="shared" si="7"/>
        <v>1.33978956325573</v>
      </c>
      <c r="R63" s="2">
        <f>(0.18/1.5*MIN((1+SQRT(200/E63)),2)*(MIN(J63,2)*(K63-8))^(1/3))</f>
        <v>0.62428389448866572</v>
      </c>
      <c r="S63" s="2">
        <f>E63/1.15*IF(F63="k",(G63+4*E63)*PI(),IF(F63="q",4*G63+4*E63*PI(),2*G63+2*H63+4*E63*PI()))</f>
        <v>123153.66869931792</v>
      </c>
      <c r="T63" s="2">
        <f t="shared" si="8"/>
        <v>7.6882851916177081E-2</v>
      </c>
      <c r="U63" s="4">
        <f t="shared" si="9"/>
        <v>2.1461222611759281</v>
      </c>
      <c r="V63" s="4"/>
      <c r="W63" s="4"/>
      <c r="X63" s="3"/>
      <c r="Y63" s="3"/>
      <c r="AB63" s="3"/>
    </row>
    <row r="64" spans="1:28" x14ac:dyDescent="0.45">
      <c r="A64" t="s">
        <v>18</v>
      </c>
      <c r="B64" t="s">
        <v>17</v>
      </c>
      <c r="C64" s="1">
        <v>2.7450000000000001</v>
      </c>
      <c r="D64">
        <v>250</v>
      </c>
      <c r="E64">
        <v>200</v>
      </c>
      <c r="F64" t="s">
        <v>14</v>
      </c>
      <c r="G64">
        <v>250</v>
      </c>
      <c r="H64" t="s">
        <v>15</v>
      </c>
      <c r="I64">
        <f t="shared" si="0"/>
        <v>49087.385212340516</v>
      </c>
      <c r="J64">
        <v>0.98</v>
      </c>
      <c r="K64">
        <v>34.4</v>
      </c>
      <c r="L64">
        <v>20</v>
      </c>
      <c r="M64">
        <v>530</v>
      </c>
      <c r="O64">
        <v>0.82499999999999996</v>
      </c>
      <c r="Q64" s="5">
        <f t="shared" si="7"/>
        <v>1.4380785929374829</v>
      </c>
      <c r="R64" s="2">
        <f>(0.18/1.5*MIN((1+SQRT(200/E64)),2)*(MIN(J64,2)*(K64-8))^(1/3))</f>
        <v>0.70983036878573424</v>
      </c>
      <c r="S64" s="2">
        <f>E64/1.15*IF(F64="k",(G64+4*E64)*PI(),IF(F64="q",4*G64+4*E64*PI(),2*G64+2*H64+4*E64*PI()))</f>
        <v>573682.13674248394</v>
      </c>
      <c r="T64" s="2">
        <f t="shared" si="8"/>
        <v>0.4072170026897054</v>
      </c>
      <c r="U64" s="4">
        <f t="shared" si="9"/>
        <v>2.0259468405071495</v>
      </c>
      <c r="V64" s="4"/>
      <c r="W64" s="4"/>
      <c r="X64" s="3"/>
      <c r="Y64" s="3"/>
      <c r="AB64" s="3"/>
    </row>
    <row r="65" spans="1:28" x14ac:dyDescent="0.45">
      <c r="A65" t="s">
        <v>18</v>
      </c>
      <c r="B65" t="s">
        <v>17</v>
      </c>
      <c r="C65" s="1">
        <v>1.8</v>
      </c>
      <c r="D65">
        <v>160</v>
      </c>
      <c r="E65">
        <v>128</v>
      </c>
      <c r="F65" t="s">
        <v>14</v>
      </c>
      <c r="G65">
        <v>160</v>
      </c>
      <c r="H65" t="s">
        <v>15</v>
      </c>
      <c r="I65">
        <f t="shared" si="0"/>
        <v>20106.192982974677</v>
      </c>
      <c r="J65">
        <v>0.98</v>
      </c>
      <c r="K65">
        <v>32.799999999999997</v>
      </c>
      <c r="L65">
        <v>20</v>
      </c>
      <c r="M65">
        <v>485</v>
      </c>
      <c r="O65">
        <v>0.39</v>
      </c>
      <c r="Q65" s="5">
        <f t="shared" si="7"/>
        <v>1.6597142851728761</v>
      </c>
      <c r="R65" s="2">
        <f>(0.18/1.5*MIN((1+SQRT(200/E65)),2)*(MIN(J65,2)*(K65-8))^(1/3))</f>
        <v>0.69519049761386476</v>
      </c>
      <c r="S65" s="2">
        <f>E65/1.15*IF(F65="k",(G65+4*E65)*PI(),IF(F65="q",4*G65+4*E65*PI(),2*G65+2*H65+4*E65*PI()))</f>
        <v>234980.20320972145</v>
      </c>
      <c r="T65" s="2">
        <f t="shared" si="8"/>
        <v>0.16335600439877332</v>
      </c>
      <c r="U65" s="4">
        <f t="shared" si="9"/>
        <v>2.3874237217994088</v>
      </c>
      <c r="V65" s="4"/>
      <c r="W65" s="4"/>
      <c r="X65" s="3"/>
      <c r="Y65" s="3"/>
      <c r="AB65" s="3"/>
    </row>
    <row r="66" spans="1:28" x14ac:dyDescent="0.45">
      <c r="A66" t="s">
        <v>18</v>
      </c>
      <c r="B66" t="s">
        <v>17</v>
      </c>
      <c r="C66" s="1">
        <v>1.8</v>
      </c>
      <c r="D66">
        <v>160</v>
      </c>
      <c r="E66">
        <v>128</v>
      </c>
      <c r="F66" t="s">
        <v>14</v>
      </c>
      <c r="G66">
        <v>160</v>
      </c>
      <c r="H66" t="s">
        <v>15</v>
      </c>
      <c r="I66">
        <f t="shared" si="0"/>
        <v>20106.192982974677</v>
      </c>
      <c r="J66">
        <v>0.98</v>
      </c>
      <c r="K66">
        <v>33.9</v>
      </c>
      <c r="L66">
        <v>10</v>
      </c>
      <c r="M66">
        <v>485</v>
      </c>
      <c r="O66">
        <v>0.36499999999999999</v>
      </c>
      <c r="Q66" s="5">
        <f t="shared" si="7"/>
        <v>1.5533223438156403</v>
      </c>
      <c r="R66" s="2">
        <f>(0.18/1.5*MIN((1+SQRT(200/E66)),2)*(MIN(J66,2)*(K66-8))^(1/3))</f>
        <v>0.70532052423981251</v>
      </c>
      <c r="S66" s="2">
        <f>E66/1.15*IF(F66="k",(G66+4*E66)*PI(),IF(F66="q",4*G66+4*E66*PI(),2*G66+2*H66+4*E66*PI()))</f>
        <v>234980.20320972145</v>
      </c>
      <c r="T66" s="2">
        <f t="shared" si="8"/>
        <v>0.16573636011385842</v>
      </c>
      <c r="U66" s="4">
        <f t="shared" si="9"/>
        <v>2.2022928447882553</v>
      </c>
      <c r="V66" s="4"/>
      <c r="W66" s="4"/>
      <c r="X66" s="3"/>
      <c r="Y66" s="3"/>
      <c r="AB66" s="3"/>
    </row>
    <row r="67" spans="1:28" x14ac:dyDescent="0.45">
      <c r="A67" t="s">
        <v>18</v>
      </c>
      <c r="B67" t="s">
        <v>17</v>
      </c>
      <c r="C67" s="1">
        <v>0.9</v>
      </c>
      <c r="D67">
        <v>80</v>
      </c>
      <c r="E67">
        <v>64</v>
      </c>
      <c r="F67" t="s">
        <v>14</v>
      </c>
      <c r="G67">
        <v>80</v>
      </c>
      <c r="H67" t="s">
        <v>15</v>
      </c>
      <c r="I67">
        <f t="shared" ref="I67:I130" si="10">IF(F67="k",G67^2*PI()/4,IF(F67="q",G67^2,G67*H67))</f>
        <v>5026.5482457436692</v>
      </c>
      <c r="J67">
        <v>0.98</v>
      </c>
      <c r="K67">
        <v>32.799999999999997</v>
      </c>
      <c r="L67">
        <v>20</v>
      </c>
      <c r="M67">
        <v>480</v>
      </c>
      <c r="O67">
        <v>0.11700000000000001</v>
      </c>
      <c r="Q67" s="5">
        <f t="shared" si="7"/>
        <v>1.9916571422074516</v>
      </c>
      <c r="R67" s="2">
        <f>(0.18/1.5*MIN((1+SQRT(200/E67)),2)*(MIN(J67,2)*(K67-8))^(1/3))</f>
        <v>0.69519049761386476</v>
      </c>
      <c r="S67" s="2">
        <f>E67/1.15*IF(F67="k",(G67+4*E67)*PI(),IF(F67="q",4*G67+4*E67*PI(),2*G67+2*H67+4*E67*PI()))</f>
        <v>58745.050802430364</v>
      </c>
      <c r="T67" s="2">
        <f t="shared" si="8"/>
        <v>4.083900109969333E-2</v>
      </c>
      <c r="U67" s="4">
        <f t="shared" si="9"/>
        <v>2.864908466159291</v>
      </c>
      <c r="V67" s="4"/>
      <c r="W67" s="4"/>
      <c r="X67" s="3"/>
      <c r="Y67" s="3"/>
      <c r="AB67" s="3"/>
    </row>
    <row r="68" spans="1:28" x14ac:dyDescent="0.45">
      <c r="A68" t="s">
        <v>18</v>
      </c>
      <c r="B68" t="s">
        <v>17</v>
      </c>
      <c r="C68" s="1">
        <v>0.9</v>
      </c>
      <c r="D68">
        <v>80</v>
      </c>
      <c r="E68">
        <v>64</v>
      </c>
      <c r="F68" t="s">
        <v>14</v>
      </c>
      <c r="G68">
        <v>80</v>
      </c>
      <c r="H68" t="s">
        <v>15</v>
      </c>
      <c r="I68">
        <f t="shared" si="10"/>
        <v>5026.5482457436692</v>
      </c>
      <c r="J68">
        <v>0.98</v>
      </c>
      <c r="K68">
        <v>33.9</v>
      </c>
      <c r="L68">
        <v>10</v>
      </c>
      <c r="M68">
        <v>480</v>
      </c>
      <c r="O68">
        <v>0.105</v>
      </c>
      <c r="Q68" s="5">
        <f t="shared" si="7"/>
        <v>1.7873846148015589</v>
      </c>
      <c r="R68" s="2">
        <f>(0.18/1.5*MIN((1+SQRT(200/E68)),2)*(MIN(J68,2)*(K68-8))^(1/3))</f>
        <v>0.70532052423981251</v>
      </c>
      <c r="S68" s="2">
        <f>E68/1.15*IF(F68="k",(G68+4*E68)*PI(),IF(F68="q",4*G68+4*E68*PI(),2*G68+2*H68+4*E68*PI()))</f>
        <v>58745.050802430364</v>
      </c>
      <c r="T68" s="2">
        <f t="shared" si="8"/>
        <v>4.1434090028464605E-2</v>
      </c>
      <c r="U68" s="4">
        <f t="shared" si="9"/>
        <v>2.5341451912631978</v>
      </c>
      <c r="V68" s="4"/>
      <c r="W68" s="4"/>
      <c r="X68" s="3"/>
      <c r="Y68" s="3"/>
      <c r="AB68" s="3"/>
    </row>
    <row r="69" spans="1:28" x14ac:dyDescent="0.45">
      <c r="A69" t="s">
        <v>18</v>
      </c>
      <c r="B69" t="s">
        <v>17</v>
      </c>
      <c r="C69" s="1">
        <v>0.9</v>
      </c>
      <c r="D69">
        <v>80</v>
      </c>
      <c r="E69">
        <v>64</v>
      </c>
      <c r="F69" t="s">
        <v>14</v>
      </c>
      <c r="G69">
        <v>80</v>
      </c>
      <c r="H69" t="s">
        <v>15</v>
      </c>
      <c r="I69">
        <f t="shared" si="10"/>
        <v>5026.5482457436692</v>
      </c>
      <c r="J69">
        <v>0.98</v>
      </c>
      <c r="K69">
        <v>35.700000000000003</v>
      </c>
      <c r="L69">
        <v>5</v>
      </c>
      <c r="M69">
        <v>480</v>
      </c>
      <c r="O69">
        <v>0.105</v>
      </c>
      <c r="Q69" s="5">
        <f t="shared" si="7"/>
        <v>1.7873846148015589</v>
      </c>
      <c r="R69" s="2">
        <f>(0.18/1.5*MIN((1+SQRT(200/E69)),2)*(MIN(J69,2)*(K69-8))^(1/3))</f>
        <v>0.72129544557539493</v>
      </c>
      <c r="S69" s="2">
        <f>E69/1.15*IF(F69="k",(G69+4*E69)*PI(),IF(F69="q",4*G69+4*E69*PI(),2*G69+2*H69+4*E69*PI()))</f>
        <v>58745.050802430364</v>
      </c>
      <c r="T69" s="2">
        <f t="shared" si="8"/>
        <v>4.2372537593888218E-2</v>
      </c>
      <c r="U69" s="4">
        <f t="shared" si="9"/>
        <v>2.4780201036424385</v>
      </c>
      <c r="V69" s="4"/>
      <c r="W69" s="4"/>
      <c r="X69" s="3"/>
      <c r="Y69" s="3"/>
      <c r="AB69" s="3"/>
    </row>
    <row r="70" spans="1:28" x14ac:dyDescent="0.45">
      <c r="A70" t="s">
        <v>14</v>
      </c>
      <c r="B70" t="s">
        <v>14</v>
      </c>
      <c r="C70" s="1">
        <v>1.37</v>
      </c>
      <c r="D70">
        <v>120</v>
      </c>
      <c r="E70">
        <v>95</v>
      </c>
      <c r="F70" t="s">
        <v>14</v>
      </c>
      <c r="G70">
        <v>150</v>
      </c>
      <c r="H70" t="s">
        <v>15</v>
      </c>
      <c r="I70">
        <f t="shared" si="10"/>
        <v>17671.458676442588</v>
      </c>
      <c r="J70">
        <v>0.83</v>
      </c>
      <c r="K70">
        <v>22.9</v>
      </c>
      <c r="L70" t="s">
        <v>15</v>
      </c>
      <c r="M70">
        <v>494</v>
      </c>
      <c r="O70">
        <v>0.19700000000000001</v>
      </c>
      <c r="Q70" s="5">
        <f t="shared" si="7"/>
        <v>1.432236439224186</v>
      </c>
      <c r="R70" s="2">
        <f>(0.18/1.5*MIN((1+SQRT(200/E70)),2)*(MIN(J70,2)*(K70-8))^(1/3))</f>
        <v>0.55500815181598528</v>
      </c>
      <c r="S70" s="2">
        <f>E70/1.15*IF(F70="k",(G70+4*E70)*PI(),IF(F70="q",4*G70+4*E70*PI(),2*G70+2*H70+4*E70*PI()))</f>
        <v>137547.12183325749</v>
      </c>
      <c r="T70" s="2">
        <f t="shared" si="8"/>
        <v>7.6339773876284392E-2</v>
      </c>
      <c r="U70" s="4">
        <f t="shared" si="9"/>
        <v>2.5805682935249008</v>
      </c>
      <c r="V70" s="4"/>
      <c r="W70" s="4"/>
      <c r="X70" s="3"/>
      <c r="Y70" s="3"/>
      <c r="AB70" s="3"/>
    </row>
    <row r="71" spans="1:28" x14ac:dyDescent="0.45">
      <c r="A71" t="s">
        <v>14</v>
      </c>
      <c r="B71" t="s">
        <v>14</v>
      </c>
      <c r="C71" s="1">
        <v>1.37</v>
      </c>
      <c r="D71">
        <v>120</v>
      </c>
      <c r="E71">
        <v>95</v>
      </c>
      <c r="F71" t="s">
        <v>14</v>
      </c>
      <c r="G71">
        <v>150</v>
      </c>
      <c r="H71" t="s">
        <v>15</v>
      </c>
      <c r="I71">
        <f t="shared" si="10"/>
        <v>17671.458676442588</v>
      </c>
      <c r="J71">
        <v>0.83</v>
      </c>
      <c r="K71">
        <v>9.4</v>
      </c>
      <c r="L71" t="s">
        <v>15</v>
      </c>
      <c r="M71">
        <v>494</v>
      </c>
      <c r="O71">
        <v>0.123</v>
      </c>
      <c r="Q71" s="5">
        <f t="shared" si="7"/>
        <v>0.89423899504860349</v>
      </c>
      <c r="R71" s="2">
        <f>(0.18/1.5*MIN((1+SQRT(200/E71)),2)*(MIN(J71,2)*(K71-8))^(1/3))</f>
        <v>0.25231706123022063</v>
      </c>
      <c r="S71" s="2">
        <f>E71/1.15*IF(F71="k",(G71+4*E71)*PI(),IF(F71="q",4*G71+4*E71*PI(),2*G71+2*H71+4*E71*PI()))</f>
        <v>137547.12183325749</v>
      </c>
      <c r="T71" s="2">
        <f t="shared" si="8"/>
        <v>3.470548556164265E-2</v>
      </c>
      <c r="U71" s="4">
        <f t="shared" si="9"/>
        <v>3.5441083162928746</v>
      </c>
      <c r="V71" s="4"/>
      <c r="W71" s="4"/>
      <c r="X71" s="3"/>
      <c r="Y71" s="3"/>
      <c r="AB71" s="3"/>
    </row>
    <row r="72" spans="1:28" x14ac:dyDescent="0.45">
      <c r="A72" t="s">
        <v>14</v>
      </c>
      <c r="B72" t="s">
        <v>14</v>
      </c>
      <c r="C72" s="1">
        <v>1.37</v>
      </c>
      <c r="D72">
        <v>120</v>
      </c>
      <c r="E72">
        <v>95</v>
      </c>
      <c r="F72" t="s">
        <v>14</v>
      </c>
      <c r="G72">
        <v>150</v>
      </c>
      <c r="H72" t="s">
        <v>15</v>
      </c>
      <c r="I72">
        <f t="shared" si="10"/>
        <v>17671.458676442588</v>
      </c>
      <c r="J72">
        <v>0.83</v>
      </c>
      <c r="K72">
        <v>37.299999999999997</v>
      </c>
      <c r="L72" t="s">
        <v>15</v>
      </c>
      <c r="M72">
        <v>494</v>
      </c>
      <c r="O72">
        <v>0.214</v>
      </c>
      <c r="Q72" s="5">
        <f t="shared" si="7"/>
        <v>1.5558304466699278</v>
      </c>
      <c r="R72" s="2">
        <f>(0.18/1.5*MIN((1+SQRT(200/E72)),2)*(MIN(J72,2)*(K72-8))^(1/3))</f>
        <v>0.69533348797077343</v>
      </c>
      <c r="S72" s="2">
        <f>E72/1.15*IF(F72="k",(G72+4*E72)*PI(),IF(F72="q",4*G72+4*E72*PI(),2*G72+2*H72+4*E72*PI()))</f>
        <v>137547.12183325749</v>
      </c>
      <c r="T72" s="2">
        <f t="shared" si="8"/>
        <v>9.5641119984659864E-2</v>
      </c>
      <c r="U72" s="4">
        <f t="shared" si="9"/>
        <v>2.2375313048856396</v>
      </c>
      <c r="V72" s="4"/>
      <c r="W72" s="4"/>
      <c r="X72" s="3"/>
      <c r="Y72" s="3"/>
      <c r="AB72" s="3"/>
    </row>
    <row r="73" spans="1:28" x14ac:dyDescent="0.45">
      <c r="A73" t="s">
        <v>14</v>
      </c>
      <c r="B73" t="s">
        <v>14</v>
      </c>
      <c r="C73" s="1">
        <v>1.37</v>
      </c>
      <c r="D73">
        <v>120</v>
      </c>
      <c r="E73">
        <v>93</v>
      </c>
      <c r="F73" t="s">
        <v>14</v>
      </c>
      <c r="G73">
        <v>150</v>
      </c>
      <c r="H73" t="s">
        <v>15</v>
      </c>
      <c r="I73">
        <f t="shared" si="10"/>
        <v>17671.458676442588</v>
      </c>
      <c r="J73">
        <v>1.52</v>
      </c>
      <c r="K73">
        <v>11.8</v>
      </c>
      <c r="L73" t="s">
        <v>15</v>
      </c>
      <c r="M73">
        <v>464</v>
      </c>
      <c r="O73">
        <v>0.154</v>
      </c>
      <c r="Q73" s="5">
        <f t="shared" si="7"/>
        <v>1.161221951203999</v>
      </c>
      <c r="R73" s="2">
        <f>(0.18/1.5*MIN((1+SQRT(200/E73)),2)*(MIN(J73,2)*(K73-8))^(1/3))</f>
        <v>0.43061283448631926</v>
      </c>
      <c r="S73" s="2">
        <f>E73/1.15*IF(F73="k",(G73+4*E73)*PI(),IF(F73="q",4*G73+4*E73*PI(),2*G73+2*H73+4*E73*PI()))</f>
        <v>132618.91909666965</v>
      </c>
      <c r="T73" s="2">
        <f t="shared" si="8"/>
        <v>5.7107408658728771E-2</v>
      </c>
      <c r="U73" s="4">
        <f t="shared" si="9"/>
        <v>2.6966728768993331</v>
      </c>
      <c r="V73" s="4"/>
      <c r="W73" s="4"/>
      <c r="X73" s="3"/>
      <c r="Y73" s="3"/>
      <c r="AB73" s="3"/>
    </row>
    <row r="74" spans="1:28" x14ac:dyDescent="0.45">
      <c r="A74" t="s">
        <v>14</v>
      </c>
      <c r="B74" t="s">
        <v>14</v>
      </c>
      <c r="C74" s="1">
        <v>1.37</v>
      </c>
      <c r="D74">
        <v>120</v>
      </c>
      <c r="E74">
        <v>93</v>
      </c>
      <c r="F74" t="s">
        <v>14</v>
      </c>
      <c r="G74">
        <v>150</v>
      </c>
      <c r="H74" t="s">
        <v>15</v>
      </c>
      <c r="I74">
        <f t="shared" si="10"/>
        <v>17671.458676442588</v>
      </c>
      <c r="J74">
        <v>1.52</v>
      </c>
      <c r="K74">
        <v>26.4</v>
      </c>
      <c r="L74" t="s">
        <v>15</v>
      </c>
      <c r="M74">
        <v>464</v>
      </c>
      <c r="O74">
        <v>0.214</v>
      </c>
      <c r="Q74" s="5">
        <f t="shared" si="7"/>
        <v>1.6136460880367256</v>
      </c>
      <c r="R74" s="2">
        <f>(0.18/1.5*MIN((1+SQRT(200/E74)),2)*(MIN(J74,2)*(K74-8))^(1/3))</f>
        <v>0.72850361642705408</v>
      </c>
      <c r="S74" s="2">
        <f>E74/1.15*IF(F74="k",(G74+4*E74)*PI(),IF(F74="q",4*G74+4*E74*PI(),2*G74+2*H74+4*E74*PI()))</f>
        <v>132618.91909666965</v>
      </c>
      <c r="T74" s="2">
        <f t="shared" si="8"/>
        <v>9.6613362168570749E-2</v>
      </c>
      <c r="U74" s="4">
        <f t="shared" si="9"/>
        <v>2.2150145196956643</v>
      </c>
      <c r="V74" s="4"/>
      <c r="W74" s="4"/>
      <c r="X74" s="3"/>
      <c r="Y74" s="3"/>
      <c r="AB74" s="3"/>
    </row>
    <row r="75" spans="1:28" x14ac:dyDescent="0.45">
      <c r="A75" t="s">
        <v>14</v>
      </c>
      <c r="B75" t="s">
        <v>14</v>
      </c>
      <c r="C75" s="1">
        <v>1.37</v>
      </c>
      <c r="D75">
        <v>120</v>
      </c>
      <c r="E75">
        <v>93</v>
      </c>
      <c r="F75" t="s">
        <v>14</v>
      </c>
      <c r="G75">
        <v>150</v>
      </c>
      <c r="H75" t="s">
        <v>15</v>
      </c>
      <c r="I75">
        <f t="shared" si="10"/>
        <v>17671.458676442588</v>
      </c>
      <c r="J75">
        <v>1.52</v>
      </c>
      <c r="K75">
        <v>42.1</v>
      </c>
      <c r="L75" t="s">
        <v>15</v>
      </c>
      <c r="M75">
        <v>464</v>
      </c>
      <c r="O75">
        <v>0.248</v>
      </c>
      <c r="Q75" s="5">
        <f t="shared" si="7"/>
        <v>1.8700197655752711</v>
      </c>
      <c r="R75" s="2">
        <f>(0.18/1.5*MIN((1+SQRT(200/E75)),2)*(MIN(J75,2)*(K75-8))^(1/3))</f>
        <v>0.89483692627238953</v>
      </c>
      <c r="S75" s="2">
        <f>E75/1.15*IF(F75="k",(G75+4*E75)*PI(),IF(F75="q",4*G75+4*E75*PI(),2*G75+2*H75+4*E75*PI()))</f>
        <v>132618.91909666965</v>
      </c>
      <c r="T75" s="2">
        <f t="shared" si="8"/>
        <v>0.11867230593003057</v>
      </c>
      <c r="U75" s="4">
        <f t="shared" si="9"/>
        <v>2.0897883297744402</v>
      </c>
      <c r="V75" s="4"/>
      <c r="W75" s="4"/>
      <c r="X75" s="3"/>
      <c r="Y75" s="3"/>
      <c r="AB75" s="3"/>
    </row>
    <row r="76" spans="1:28" x14ac:dyDescent="0.45">
      <c r="A76" t="s">
        <v>18</v>
      </c>
      <c r="B76" t="s">
        <v>17</v>
      </c>
      <c r="C76" s="1">
        <v>1.5</v>
      </c>
      <c r="D76">
        <v>150</v>
      </c>
      <c r="E76">
        <v>118</v>
      </c>
      <c r="F76" t="s">
        <v>14</v>
      </c>
      <c r="G76">
        <v>54</v>
      </c>
      <c r="H76" t="s">
        <v>15</v>
      </c>
      <c r="I76">
        <f t="shared" si="10"/>
        <v>2290.221044466959</v>
      </c>
      <c r="J76">
        <v>0.8</v>
      </c>
      <c r="K76">
        <v>33.9</v>
      </c>
      <c r="L76" t="s">
        <v>15</v>
      </c>
      <c r="M76">
        <v>628</v>
      </c>
      <c r="O76">
        <v>0.17</v>
      </c>
      <c r="Q76" s="5">
        <f t="shared" si="7"/>
        <v>1.0026033181177272</v>
      </c>
      <c r="R76" s="2">
        <f>(0.18/1.5*MIN((1+SQRT(200/E76)),2)*(MIN(J76,2)*(K76-8))^(1/3))</f>
        <v>0.65918577277868706</v>
      </c>
      <c r="S76" s="2">
        <f>E76/1.15*IF(F76="k",(G76+4*E76)*PI(),IF(F76="q",4*G76+4*E76*PI(),2*G76+2*H76+4*E76*PI()))</f>
        <v>169558.58506348808</v>
      </c>
      <c r="T76" s="2">
        <f t="shared" si="8"/>
        <v>0.11177060692633613</v>
      </c>
      <c r="U76" s="4">
        <f t="shared" si="9"/>
        <v>1.5209723260431136</v>
      </c>
      <c r="V76" s="4"/>
      <c r="W76" s="4"/>
      <c r="X76" s="3"/>
      <c r="Y76" s="3"/>
      <c r="AB76" s="3"/>
    </row>
    <row r="77" spans="1:28" x14ac:dyDescent="0.45">
      <c r="A77" t="s">
        <v>18</v>
      </c>
      <c r="B77" t="s">
        <v>17</v>
      </c>
      <c r="C77" s="1">
        <v>1.5</v>
      </c>
      <c r="D77">
        <v>150</v>
      </c>
      <c r="E77">
        <v>118</v>
      </c>
      <c r="F77" t="s">
        <v>14</v>
      </c>
      <c r="G77">
        <v>170</v>
      </c>
      <c r="H77" t="s">
        <v>15</v>
      </c>
      <c r="I77">
        <f t="shared" si="10"/>
        <v>22698.006922186254</v>
      </c>
      <c r="J77">
        <v>0.8</v>
      </c>
      <c r="K77">
        <v>31.7</v>
      </c>
      <c r="L77" t="s">
        <v>15</v>
      </c>
      <c r="M77">
        <v>628</v>
      </c>
      <c r="O77">
        <v>0.28000000000000003</v>
      </c>
      <c r="Q77" s="5">
        <f t="shared" si="7"/>
        <v>1.3529724820632107</v>
      </c>
      <c r="R77" s="2">
        <f>(0.18/1.5*MIN((1+SQRT(200/E77)),2)*(MIN(J77,2)*(K77-8))^(1/3))</f>
        <v>0.63996666493040477</v>
      </c>
      <c r="S77" s="2">
        <f>E77/1.15*IF(F77="k",(G77+4*E77)*PI(),IF(F77="q",4*G77+4*E77*PI(),2*G77+2*H77+4*E77*PI()))</f>
        <v>206951.73310030295</v>
      </c>
      <c r="T77" s="2">
        <f t="shared" si="8"/>
        <v>0.13244221043376814</v>
      </c>
      <c r="U77" s="4">
        <f t="shared" si="9"/>
        <v>2.1141296198769104</v>
      </c>
      <c r="V77" s="4"/>
      <c r="W77" s="4"/>
      <c r="X77" s="3"/>
      <c r="Y77" s="3"/>
      <c r="AB77" s="3"/>
    </row>
    <row r="78" spans="1:28" x14ac:dyDescent="0.45">
      <c r="A78" t="s">
        <v>18</v>
      </c>
      <c r="B78" t="s">
        <v>17</v>
      </c>
      <c r="C78" s="1">
        <v>1.5</v>
      </c>
      <c r="D78">
        <v>150</v>
      </c>
      <c r="E78">
        <v>118</v>
      </c>
      <c r="F78" t="s">
        <v>14</v>
      </c>
      <c r="G78">
        <v>110</v>
      </c>
      <c r="H78" t="s">
        <v>15</v>
      </c>
      <c r="I78">
        <f t="shared" si="10"/>
        <v>9503.317777109125</v>
      </c>
      <c r="J78">
        <v>0.8</v>
      </c>
      <c r="K78">
        <v>32</v>
      </c>
      <c r="L78" t="s">
        <v>15</v>
      </c>
      <c r="M78">
        <v>628</v>
      </c>
      <c r="O78">
        <v>0.26500000000000001</v>
      </c>
      <c r="Q78" s="5">
        <f t="shared" si="7"/>
        <v>1.4125012786782896</v>
      </c>
      <c r="R78" s="2">
        <f>(0.18/1.5*MIN((1+SQRT(200/E78)),2)*(MIN(J78,2)*(K78-8))^(1/3))</f>
        <v>0.64265563207888277</v>
      </c>
      <c r="S78" s="2">
        <f>E78/1.15*IF(F78="k",(G78+4*E78)*PI(),IF(F78="q",4*G78+4*E78*PI(),2*G78+2*H78+4*E78*PI()))</f>
        <v>187610.44963298491</v>
      </c>
      <c r="T78" s="2">
        <f t="shared" si="8"/>
        <v>0.12056891209348931</v>
      </c>
      <c r="U78" s="4">
        <f t="shared" si="9"/>
        <v>2.1979131718010247</v>
      </c>
      <c r="V78" s="4"/>
      <c r="W78" s="4"/>
      <c r="X78" s="3"/>
      <c r="Y78" s="3"/>
      <c r="AB78" s="3"/>
    </row>
    <row r="79" spans="1:28" x14ac:dyDescent="0.45">
      <c r="A79" t="s">
        <v>18</v>
      </c>
      <c r="B79" t="s">
        <v>17</v>
      </c>
      <c r="C79" s="1">
        <v>1.5</v>
      </c>
      <c r="D79">
        <v>150</v>
      </c>
      <c r="E79">
        <v>118</v>
      </c>
      <c r="F79" t="s">
        <v>17</v>
      </c>
      <c r="G79">
        <v>102</v>
      </c>
      <c r="H79" t="s">
        <v>15</v>
      </c>
      <c r="I79">
        <f t="shared" si="10"/>
        <v>10404</v>
      </c>
      <c r="J79">
        <v>0.8</v>
      </c>
      <c r="K79">
        <v>35.799999999999997</v>
      </c>
      <c r="L79" t="s">
        <v>15</v>
      </c>
      <c r="M79">
        <v>628</v>
      </c>
      <c r="O79">
        <v>0.28499999999999998</v>
      </c>
      <c r="Q79" s="5">
        <f t="shared" si="7"/>
        <v>1.4689526969262496</v>
      </c>
      <c r="R79" s="2">
        <f>(0.18/1.5*MIN((1+SQRT(200/E79)),2)*(MIN(J79,2)*(K79-8))^(1/3))</f>
        <v>0.67492601658269713</v>
      </c>
      <c r="S79" s="2">
        <f>E79/1.15*IF(F79="k",(G79+4*E79)*PI(),IF(F79="q",4*G79+4*E79*PI(),2*G79+2*H79+4*E79*PI()))</f>
        <v>194015.7777689888</v>
      </c>
      <c r="T79" s="2">
        <f t="shared" si="8"/>
        <v>0.13094629604381741</v>
      </c>
      <c r="U79" s="4">
        <f t="shared" si="9"/>
        <v>2.1764647692259498</v>
      </c>
      <c r="V79" s="4"/>
      <c r="W79" s="4"/>
      <c r="X79" s="3"/>
      <c r="Y79" s="3"/>
      <c r="AB79" s="3"/>
    </row>
    <row r="80" spans="1:28" x14ac:dyDescent="0.45">
      <c r="A80" t="s">
        <v>18</v>
      </c>
      <c r="B80" t="s">
        <v>17</v>
      </c>
      <c r="C80" s="1">
        <v>1.5</v>
      </c>
      <c r="D80">
        <v>150</v>
      </c>
      <c r="E80">
        <v>118</v>
      </c>
      <c r="F80" t="s">
        <v>14</v>
      </c>
      <c r="G80">
        <v>150</v>
      </c>
      <c r="H80" t="s">
        <v>15</v>
      </c>
      <c r="I80">
        <f t="shared" si="10"/>
        <v>17671.458676442588</v>
      </c>
      <c r="J80">
        <v>0.8</v>
      </c>
      <c r="K80">
        <v>32.4</v>
      </c>
      <c r="L80" t="s">
        <v>15</v>
      </c>
      <c r="M80">
        <v>628</v>
      </c>
      <c r="O80">
        <v>0.28499999999999998</v>
      </c>
      <c r="Q80" s="5">
        <f t="shared" si="7"/>
        <v>1.4214134993288106</v>
      </c>
      <c r="R80" s="2">
        <f>(0.18/1.5*MIN((1+SQRT(200/E80)),2)*(MIN(J80,2)*(K80-8))^(1/3))</f>
        <v>0.6462062877374678</v>
      </c>
      <c r="S80" s="2">
        <f>E80/1.15*IF(F80="k",(G80+4*E80)*PI(),IF(F80="q",4*G80+4*E80*PI(),2*G80+2*H80+4*E80*PI()))</f>
        <v>200504.63861119692</v>
      </c>
      <c r="T80" s="2">
        <f t="shared" si="8"/>
        <v>0.12956735819108411</v>
      </c>
      <c r="U80" s="4">
        <f t="shared" si="9"/>
        <v>2.199628085182427</v>
      </c>
      <c r="V80" s="4"/>
      <c r="W80" s="4"/>
      <c r="X80" s="3"/>
      <c r="Y80" s="3"/>
      <c r="AB80" s="3"/>
    </row>
    <row r="81" spans="1:28" x14ac:dyDescent="0.45">
      <c r="A81" t="s">
        <v>18</v>
      </c>
      <c r="B81" t="s">
        <v>17</v>
      </c>
      <c r="C81" s="1">
        <v>1.69</v>
      </c>
      <c r="D81">
        <v>125</v>
      </c>
      <c r="E81">
        <v>100</v>
      </c>
      <c r="F81" t="s">
        <v>17</v>
      </c>
      <c r="G81">
        <v>150</v>
      </c>
      <c r="H81" t="s">
        <v>15</v>
      </c>
      <c r="I81">
        <f t="shared" si="10"/>
        <v>22500</v>
      </c>
      <c r="J81">
        <v>0.56000000000000005</v>
      </c>
      <c r="K81">
        <v>38.799999999999997</v>
      </c>
      <c r="L81">
        <v>10</v>
      </c>
      <c r="M81">
        <v>462</v>
      </c>
      <c r="O81">
        <v>0.19800000000000001</v>
      </c>
      <c r="Q81" s="5">
        <f t="shared" si="7"/>
        <v>1.2264109379778163</v>
      </c>
      <c r="R81" s="2">
        <f>(0.18/1.5*MIN((1+SQRT(200/E81)),2)*(MIN(J81,2)*(K81-8))^(1/3))</f>
        <v>0.62009394344778013</v>
      </c>
      <c r="S81" s="2">
        <f>E81/1.15*IF(F81="k",(G81+4*E81)*PI(),IF(F81="q",4*G81+4*E81*PI(),2*G81+2*H81+4*E81*PI()))</f>
        <v>161446.70099442761</v>
      </c>
      <c r="T81" s="2">
        <f t="shared" si="8"/>
        <v>0.10011212147626926</v>
      </c>
      <c r="U81" s="4">
        <f t="shared" si="9"/>
        <v>1.977782481084813</v>
      </c>
      <c r="V81" s="4"/>
      <c r="W81" s="4"/>
      <c r="X81" s="3"/>
      <c r="Y81" s="3"/>
      <c r="AB81" s="3"/>
    </row>
    <row r="82" spans="1:28" x14ac:dyDescent="0.45">
      <c r="A82" t="s">
        <v>19</v>
      </c>
      <c r="B82" t="s">
        <v>14</v>
      </c>
      <c r="C82" s="1">
        <v>2.6</v>
      </c>
      <c r="D82">
        <v>180</v>
      </c>
      <c r="E82">
        <v>143</v>
      </c>
      <c r="F82" t="s">
        <v>14</v>
      </c>
      <c r="G82">
        <v>300</v>
      </c>
      <c r="H82" t="s">
        <v>15</v>
      </c>
      <c r="I82">
        <f t="shared" si="10"/>
        <v>70685.83470577035</v>
      </c>
      <c r="J82">
        <v>1.49</v>
      </c>
      <c r="K82">
        <v>35.4</v>
      </c>
      <c r="L82">
        <v>16</v>
      </c>
      <c r="M82">
        <v>558</v>
      </c>
      <c r="N82">
        <v>210</v>
      </c>
      <c r="O82">
        <v>0.628</v>
      </c>
      <c r="Q82" s="5">
        <f t="shared" si="7"/>
        <v>1.8435507137513121</v>
      </c>
      <c r="R82" s="2">
        <f>(0.18/1.5*MIN((1+SQRT(200/E82)),2)*(MIN(J82,2)*(K82-8))^(1/3))</f>
        <v>0.8263997658426453</v>
      </c>
      <c r="S82" s="2">
        <f>E82/1.15*IF(F82="k",(G82+4*E82)*PI(),IF(F82="q",4*G82+4*E82*PI(),2*G82+2*H82+4*E82*PI()))</f>
        <v>340646.98915828945</v>
      </c>
      <c r="T82" s="2">
        <f t="shared" si="8"/>
        <v>0.28151059207541251</v>
      </c>
      <c r="U82" s="4">
        <f t="shared" si="9"/>
        <v>2.2308219217263701</v>
      </c>
      <c r="V82" s="4"/>
      <c r="W82" s="4"/>
      <c r="X82" s="3"/>
      <c r="Y82" s="3"/>
      <c r="AB82" s="3"/>
    </row>
    <row r="83" spans="1:28" x14ac:dyDescent="0.45">
      <c r="A83" t="s">
        <v>19</v>
      </c>
      <c r="B83" t="s">
        <v>14</v>
      </c>
      <c r="C83" s="1">
        <v>2.6</v>
      </c>
      <c r="D83">
        <v>180</v>
      </c>
      <c r="E83">
        <v>154</v>
      </c>
      <c r="F83" t="s">
        <v>14</v>
      </c>
      <c r="G83">
        <v>300</v>
      </c>
      <c r="H83" t="s">
        <v>15</v>
      </c>
      <c r="I83">
        <f t="shared" si="10"/>
        <v>70685.83470577035</v>
      </c>
      <c r="J83">
        <v>1.34</v>
      </c>
      <c r="K83">
        <v>27.1</v>
      </c>
      <c r="L83">
        <v>16</v>
      </c>
      <c r="M83">
        <v>515</v>
      </c>
      <c r="N83">
        <v>204</v>
      </c>
      <c r="O83">
        <v>0.59199999999999997</v>
      </c>
      <c r="Q83" s="5">
        <f t="shared" si="7"/>
        <v>1.5362202299234722</v>
      </c>
      <c r="R83" s="2">
        <f>(0.18/1.5*MIN((1+SQRT(200/E83)),2)*(MIN(J83,2)*(K83-8))^(1/3))</f>
        <v>0.70727878294868796</v>
      </c>
      <c r="S83" s="2">
        <f>E83/1.15*IF(F83="k",(G83+4*E83)*PI(),IF(F83="q",4*G83+4*E83*PI(),2*G83+2*H83+4*E83*PI()))</f>
        <v>385361.41398781788</v>
      </c>
      <c r="T83" s="2">
        <f t="shared" si="8"/>
        <v>0.27255795188068932</v>
      </c>
      <c r="U83" s="4">
        <f t="shared" si="9"/>
        <v>2.172015147292949</v>
      </c>
      <c r="V83" s="4"/>
      <c r="W83" s="4"/>
      <c r="X83" s="3"/>
      <c r="Y83" s="3"/>
      <c r="AB83" s="3"/>
    </row>
    <row r="84" spans="1:28" x14ac:dyDescent="0.45">
      <c r="A84" t="s">
        <v>14</v>
      </c>
      <c r="B84" t="s">
        <v>14</v>
      </c>
      <c r="C84" s="1">
        <v>1.68</v>
      </c>
      <c r="D84">
        <v>143</v>
      </c>
      <c r="E84">
        <v>113</v>
      </c>
      <c r="F84" t="s">
        <v>14</v>
      </c>
      <c r="G84">
        <v>210</v>
      </c>
      <c r="H84" t="s">
        <v>15</v>
      </c>
      <c r="I84">
        <f t="shared" si="10"/>
        <v>34636.059005827468</v>
      </c>
      <c r="J84">
        <v>0.87</v>
      </c>
      <c r="K84">
        <v>28.1</v>
      </c>
      <c r="L84">
        <v>32</v>
      </c>
      <c r="M84">
        <v>450</v>
      </c>
      <c r="O84">
        <v>0.28000000000000003</v>
      </c>
      <c r="Q84" s="5">
        <f t="shared" si="7"/>
        <v>1.3701545778571316</v>
      </c>
      <c r="R84" s="2">
        <f>(0.18/1.5*MIN((1+SQRT(200/E84)),2)*(MIN(J84,2)*(K84-8))^(1/3))</f>
        <v>0.62294496274759203</v>
      </c>
      <c r="S84" s="2">
        <f>E84/1.15*IF(F84="k",(G84+4*E84)*PI(),IF(F84="q",4*G84+4*E84*PI(),2*G84+2*H84+4*E84*PI()))</f>
        <v>204356.50438646792</v>
      </c>
      <c r="T84" s="2">
        <f t="shared" si="8"/>
        <v>0.12730285501225638</v>
      </c>
      <c r="U84" s="4">
        <f t="shared" si="9"/>
        <v>2.1994793437511073</v>
      </c>
      <c r="V84" s="4"/>
      <c r="W84" s="4"/>
      <c r="X84" s="3"/>
      <c r="Y84" s="3"/>
      <c r="AB84" s="3"/>
    </row>
    <row r="85" spans="1:28" x14ac:dyDescent="0.45">
      <c r="A85" t="s">
        <v>14</v>
      </c>
      <c r="B85" t="s">
        <v>14</v>
      </c>
      <c r="C85" s="1">
        <v>1.68</v>
      </c>
      <c r="D85">
        <v>200</v>
      </c>
      <c r="E85">
        <v>170</v>
      </c>
      <c r="F85" t="s">
        <v>14</v>
      </c>
      <c r="G85">
        <v>210</v>
      </c>
      <c r="H85" t="s">
        <v>15</v>
      </c>
      <c r="I85">
        <f t="shared" si="10"/>
        <v>34636.059005827468</v>
      </c>
      <c r="J85">
        <v>0.57999999999999996</v>
      </c>
      <c r="K85">
        <v>21.3</v>
      </c>
      <c r="L85">
        <v>32</v>
      </c>
      <c r="M85">
        <v>450</v>
      </c>
      <c r="O85">
        <v>0.48</v>
      </c>
      <c r="Q85" s="5">
        <f t="shared" si="7"/>
        <v>1.1613156455614835</v>
      </c>
      <c r="R85" s="2">
        <f>(0.18/1.5*MIN((1+SQRT(200/E85)),2)*(MIN(J85,2)*(K85-8))^(1/3))</f>
        <v>0.47421044973145643</v>
      </c>
      <c r="S85" s="2">
        <f>E85/1.15*IF(F85="k",(G85+4*E85)*PI(),IF(F85="q",4*G85+4*E85*PI(),2*G85+2*H85+4*E85*PI()))</f>
        <v>413324.32042446581</v>
      </c>
      <c r="T85" s="2">
        <f t="shared" si="8"/>
        <v>0.19600271187343454</v>
      </c>
      <c r="U85" s="4">
        <f t="shared" si="9"/>
        <v>2.4489457080060806</v>
      </c>
      <c r="V85" s="4"/>
      <c r="W85" s="4"/>
      <c r="X85" s="3"/>
      <c r="Y85" s="3"/>
      <c r="AB85" s="3"/>
    </row>
    <row r="86" spans="1:28" x14ac:dyDescent="0.45">
      <c r="A86" t="s">
        <v>14</v>
      </c>
      <c r="B86" t="s">
        <v>14</v>
      </c>
      <c r="C86" s="1">
        <v>1.056</v>
      </c>
      <c r="D86">
        <v>110</v>
      </c>
      <c r="E86">
        <v>80</v>
      </c>
      <c r="F86" t="s">
        <v>14</v>
      </c>
      <c r="G86">
        <v>100</v>
      </c>
      <c r="H86" t="s">
        <v>15</v>
      </c>
      <c r="I86">
        <f t="shared" si="10"/>
        <v>7853.981633974483</v>
      </c>
      <c r="J86">
        <v>1.81</v>
      </c>
      <c r="K86">
        <v>39.5</v>
      </c>
      <c r="L86">
        <v>16</v>
      </c>
      <c r="M86">
        <v>550</v>
      </c>
      <c r="N86">
        <v>217</v>
      </c>
      <c r="O86">
        <v>0.183</v>
      </c>
      <c r="Q86" s="5">
        <f t="shared" si="7"/>
        <v>1.9936998674815101</v>
      </c>
      <c r="R86" s="2">
        <f>(0.18/1.5*MIN((1+SQRT(200/E86)),2)*(MIN(J86,2)*(K86-8))^(1/3))</f>
        <v>0.92372128547680787</v>
      </c>
      <c r="S86" s="2">
        <f>E86/1.15*IF(F86="k",(G86+4*E86)*PI(),IF(F86="q",4*G86+4*E86*PI(),2*G86+2*H86+4*E86*PI()))</f>
        <v>91789.141878797454</v>
      </c>
      <c r="T86" s="2">
        <f t="shared" si="8"/>
        <v>8.4787584129095872E-2</v>
      </c>
      <c r="U86" s="4">
        <f t="shared" si="9"/>
        <v>2.1583348774434694</v>
      </c>
      <c r="V86" s="4"/>
      <c r="W86" s="4"/>
      <c r="X86" s="3"/>
      <c r="Y86" s="3"/>
      <c r="AB86" s="3"/>
    </row>
    <row r="87" spans="1:28" x14ac:dyDescent="0.45">
      <c r="A87" t="s">
        <v>14</v>
      </c>
      <c r="B87" t="s">
        <v>14</v>
      </c>
      <c r="C87" s="1">
        <v>1.056</v>
      </c>
      <c r="D87">
        <v>110</v>
      </c>
      <c r="E87">
        <v>80</v>
      </c>
      <c r="F87" t="s">
        <v>14</v>
      </c>
      <c r="G87">
        <v>240</v>
      </c>
      <c r="H87" t="s">
        <v>15</v>
      </c>
      <c r="I87">
        <f t="shared" si="10"/>
        <v>45238.93421169302</v>
      </c>
      <c r="J87">
        <v>1.81</v>
      </c>
      <c r="K87">
        <v>44.1</v>
      </c>
      <c r="L87">
        <v>16</v>
      </c>
      <c r="M87">
        <v>550</v>
      </c>
      <c r="N87">
        <v>217</v>
      </c>
      <c r="O87">
        <v>0.28100000000000003</v>
      </c>
      <c r="Q87" s="5">
        <f t="shared" si="7"/>
        <v>2.2960232080422314</v>
      </c>
      <c r="R87" s="2">
        <f>(0.18/1.5*MIN((1+SQRT(200/E87)),2)*(MIN(J87,2)*(K87-8))^(1/3))</f>
        <v>0.96665870739912418</v>
      </c>
      <c r="S87" s="2">
        <f>E87/1.15*IF(F87="k",(G87+4*E87)*PI(),IF(F87="q",4*G87+4*E87*PI(),2*G87+2*H87+4*E87*PI()))</f>
        <v>122385.52250506326</v>
      </c>
      <c r="T87" s="2">
        <f t="shared" si="8"/>
        <v>0.11830503098911088</v>
      </c>
      <c r="U87" s="4">
        <f t="shared" si="9"/>
        <v>2.3752159789879439</v>
      </c>
      <c r="V87" s="4"/>
      <c r="W87" s="4"/>
      <c r="X87" s="3"/>
      <c r="Y87" s="3"/>
      <c r="AB87" s="3"/>
    </row>
    <row r="88" spans="1:28" x14ac:dyDescent="0.45">
      <c r="A88" t="s">
        <v>14</v>
      </c>
      <c r="B88" t="s">
        <v>14</v>
      </c>
      <c r="C88" s="1">
        <v>1.056</v>
      </c>
      <c r="D88">
        <v>110</v>
      </c>
      <c r="E88">
        <v>80</v>
      </c>
      <c r="F88" t="s">
        <v>14</v>
      </c>
      <c r="G88">
        <v>200</v>
      </c>
      <c r="H88" t="s">
        <v>15</v>
      </c>
      <c r="I88">
        <f t="shared" si="10"/>
        <v>31415.926535897932</v>
      </c>
      <c r="J88">
        <v>1.81</v>
      </c>
      <c r="K88">
        <v>42.1</v>
      </c>
      <c r="L88">
        <v>16</v>
      </c>
      <c r="M88">
        <v>550</v>
      </c>
      <c r="N88">
        <v>217</v>
      </c>
      <c r="O88">
        <v>0.28799999999999998</v>
      </c>
      <c r="Q88" s="5">
        <f t="shared" si="7"/>
        <v>2.5342364015401793</v>
      </c>
      <c r="R88" s="2">
        <f>(0.18/1.5*MIN((1+SQRT(200/E88)),2)*(MIN(J88,2)*(K88-8))^(1/3))</f>
        <v>0.94846700272310669</v>
      </c>
      <c r="S88" s="2">
        <f>E88/1.15*IF(F88="k",(G88+4*E88)*PI(),IF(F88="q",4*G88+4*E88*PI(),2*G88+2*H88+4*E88*PI()))</f>
        <v>113643.69946898731</v>
      </c>
      <c r="T88" s="2">
        <f t="shared" si="8"/>
        <v>0.10778729901371591</v>
      </c>
      <c r="U88" s="4">
        <f t="shared" si="9"/>
        <v>2.6719289066084868</v>
      </c>
      <c r="V88" s="4"/>
      <c r="W88" s="4"/>
      <c r="X88" s="3"/>
      <c r="Y88" s="3"/>
      <c r="AB88" s="3"/>
    </row>
    <row r="89" spans="1:28" x14ac:dyDescent="0.45">
      <c r="A89" t="s">
        <v>14</v>
      </c>
      <c r="B89" t="s">
        <v>14</v>
      </c>
      <c r="C89" s="1">
        <v>1.056</v>
      </c>
      <c r="D89">
        <v>110</v>
      </c>
      <c r="E89">
        <v>80</v>
      </c>
      <c r="F89" t="s">
        <v>14</v>
      </c>
      <c r="G89">
        <v>320</v>
      </c>
      <c r="H89" t="s">
        <v>15</v>
      </c>
      <c r="I89">
        <f t="shared" si="10"/>
        <v>80424.771931898707</v>
      </c>
      <c r="J89">
        <v>1.81</v>
      </c>
      <c r="K89">
        <v>40</v>
      </c>
      <c r="L89">
        <v>16</v>
      </c>
      <c r="M89">
        <v>550</v>
      </c>
      <c r="N89">
        <v>217</v>
      </c>
      <c r="O89">
        <v>0.32400000000000001</v>
      </c>
      <c r="Q89" s="5">
        <f t="shared" si="7"/>
        <v>2.31645046078282</v>
      </c>
      <c r="R89" s="2">
        <f>(0.18/1.5*MIN((1+SQRT(200/E89)),2)*(MIN(J89,2)*(K89-8))^(1/3))</f>
        <v>0.92858306600236273</v>
      </c>
      <c r="S89" s="2">
        <f>E89/1.15*IF(F89="k",(G89+4*E89)*PI(),IF(F89="q",4*G89+4*E89*PI(),2*G89+2*H89+4*E89*PI()))</f>
        <v>139869.16857721517</v>
      </c>
      <c r="T89" s="2">
        <f t="shared" si="8"/>
        <v>0.12988014139663179</v>
      </c>
      <c r="U89" s="4">
        <f t="shared" si="9"/>
        <v>2.4946076938010044</v>
      </c>
      <c r="V89" s="4"/>
      <c r="W89" s="4"/>
      <c r="X89" s="3"/>
      <c r="Y89" s="3"/>
      <c r="AB89" s="3"/>
    </row>
    <row r="90" spans="1:28" x14ac:dyDescent="0.45">
      <c r="A90" t="s">
        <v>14</v>
      </c>
      <c r="B90" t="s">
        <v>14</v>
      </c>
      <c r="C90" s="1">
        <v>2.65</v>
      </c>
      <c r="D90">
        <v>280</v>
      </c>
      <c r="E90">
        <v>240</v>
      </c>
      <c r="F90" t="s">
        <v>14</v>
      </c>
      <c r="G90">
        <v>500</v>
      </c>
      <c r="H90" t="s">
        <v>15</v>
      </c>
      <c r="I90">
        <f t="shared" si="10"/>
        <v>196349.54084936206</v>
      </c>
      <c r="J90">
        <v>1.32</v>
      </c>
      <c r="K90">
        <v>27</v>
      </c>
      <c r="L90">
        <v>32</v>
      </c>
      <c r="M90">
        <v>544</v>
      </c>
      <c r="O90">
        <v>1.661</v>
      </c>
      <c r="Q90" s="5">
        <f t="shared" si="7"/>
        <v>1.7352158364553874</v>
      </c>
      <c r="R90" s="2">
        <f>(0.18/1.5*MIN((1+SQRT(200/E90)),2)*(MIN(J90,2)*(K90-8))^(1/3))</f>
        <v>0.67190739939713473</v>
      </c>
      <c r="S90" s="2">
        <f>E90/1.15*IF(F90="k",(G90+4*E90)*PI(),IF(F90="q",4*G90+4*E90*PI(),2*G90+2*H90+4*E90*PI()))</f>
        <v>957229.62245031621</v>
      </c>
      <c r="T90" s="2">
        <f t="shared" si="8"/>
        <v>0.64316966624649308</v>
      </c>
      <c r="U90" s="4">
        <f t="shared" si="9"/>
        <v>2.5825222910363843</v>
      </c>
      <c r="V90" s="4"/>
      <c r="W90" s="4"/>
      <c r="X90" s="3"/>
      <c r="Y90" s="3"/>
      <c r="AB90" s="3"/>
    </row>
    <row r="91" spans="1:28" x14ac:dyDescent="0.45">
      <c r="A91" t="s">
        <v>14</v>
      </c>
      <c r="B91" t="s">
        <v>14</v>
      </c>
      <c r="C91" s="1">
        <v>1.2</v>
      </c>
      <c r="D91">
        <v>127</v>
      </c>
      <c r="E91">
        <v>109</v>
      </c>
      <c r="F91" t="s">
        <v>14</v>
      </c>
      <c r="G91">
        <v>226</v>
      </c>
      <c r="H91" t="s">
        <v>15</v>
      </c>
      <c r="I91">
        <f t="shared" si="10"/>
        <v>40114.996593688069</v>
      </c>
      <c r="J91">
        <v>1.31</v>
      </c>
      <c r="K91">
        <v>30.7</v>
      </c>
      <c r="L91">
        <v>32</v>
      </c>
      <c r="M91">
        <v>540</v>
      </c>
      <c r="O91">
        <v>0.36199999999999999</v>
      </c>
      <c r="Q91" s="5">
        <f t="shared" si="7"/>
        <v>1.8364201560230611</v>
      </c>
      <c r="R91" s="2">
        <f>(0.18/1.5*MIN((1+SQRT(200/E91)),2)*(MIN(J91,2)*(K91-8))^(1/3))</f>
        <v>0.74355019637711128</v>
      </c>
      <c r="S91" s="2">
        <f>E91/1.15*IF(F91="k",(G91+4*E91)*PI(),IF(F91="q",4*G91+4*E91*PI(),2*G91+2*H91+4*E91*PI()))</f>
        <v>197122.64582411505</v>
      </c>
      <c r="T91" s="2">
        <f t="shared" si="8"/>
        <v>0.14657058201289652</v>
      </c>
      <c r="U91" s="4">
        <f t="shared" si="9"/>
        <v>2.4697998399716266</v>
      </c>
      <c r="V91" s="4"/>
      <c r="W91" s="4"/>
      <c r="X91" s="3"/>
      <c r="Y91" s="3"/>
      <c r="AB91" s="3"/>
    </row>
    <row r="92" spans="1:28" x14ac:dyDescent="0.45">
      <c r="A92" t="s">
        <v>16</v>
      </c>
      <c r="B92" t="s">
        <v>17</v>
      </c>
      <c r="C92" s="1">
        <v>1.829</v>
      </c>
      <c r="D92">
        <v>146</v>
      </c>
      <c r="E92">
        <v>110</v>
      </c>
      <c r="F92" t="s">
        <v>17</v>
      </c>
      <c r="G92">
        <v>254</v>
      </c>
      <c r="H92" t="s">
        <v>15</v>
      </c>
      <c r="I92">
        <f t="shared" si="10"/>
        <v>64516</v>
      </c>
      <c r="J92">
        <v>1.5</v>
      </c>
      <c r="K92">
        <v>18.100000000000001</v>
      </c>
      <c r="L92" t="s">
        <v>15</v>
      </c>
      <c r="M92">
        <v>404</v>
      </c>
      <c r="O92">
        <v>0.33400000000000002</v>
      </c>
      <c r="Q92" s="5">
        <f t="shared" si="7"/>
        <v>1.4559550782874944</v>
      </c>
      <c r="R92" s="2">
        <f>(0.18/1.5*MIN((1+SQRT(200/E92)),2)*(MIN(J92,2)*(K92-8))^(1/3))</f>
        <v>0.59385732722791673</v>
      </c>
      <c r="S92" s="2">
        <f>E92/1.15*IF(F92="k",(G92+4*E92)*PI(),IF(F92="q",4*G92+4*E92*PI(),2*G92+2*H92+4*E92*PI()))</f>
        <v>229402.68211630086</v>
      </c>
      <c r="T92" s="2">
        <f t="shared" si="8"/>
        <v>0.13623246366050185</v>
      </c>
      <c r="U92" s="4">
        <f t="shared" si="9"/>
        <v>2.4516916968656224</v>
      </c>
      <c r="V92" s="4"/>
      <c r="W92" s="4"/>
      <c r="X92" s="3"/>
      <c r="Y92" s="3"/>
      <c r="AB92" s="3"/>
    </row>
    <row r="93" spans="1:28" x14ac:dyDescent="0.45">
      <c r="A93" t="s">
        <v>16</v>
      </c>
      <c r="B93" t="s">
        <v>17</v>
      </c>
      <c r="C93" s="1">
        <v>1.829</v>
      </c>
      <c r="D93">
        <v>146</v>
      </c>
      <c r="E93">
        <v>110</v>
      </c>
      <c r="F93" t="s">
        <v>17</v>
      </c>
      <c r="G93">
        <v>203</v>
      </c>
      <c r="H93" t="s">
        <v>15</v>
      </c>
      <c r="I93">
        <f t="shared" si="10"/>
        <v>41209</v>
      </c>
      <c r="J93">
        <v>1</v>
      </c>
      <c r="K93">
        <v>19.5</v>
      </c>
      <c r="L93" t="s">
        <v>15</v>
      </c>
      <c r="M93">
        <v>444</v>
      </c>
      <c r="O93">
        <v>0.26600000000000001</v>
      </c>
      <c r="Q93" s="5">
        <f t="shared" si="7"/>
        <v>1.2673326883883189</v>
      </c>
      <c r="R93" s="2">
        <f>(0.18/1.5*MIN((1+SQRT(200/E93)),2)*(MIN(J93,2)*(K93-8))^(1/3))</f>
        <v>0.54172289225688008</v>
      </c>
      <c r="S93" s="2">
        <f>E93/1.15*IF(F93="k",(G93+4*E93)*PI(),IF(F93="q",4*G93+4*E93*PI(),2*G93+2*H93+4*E93*PI()))</f>
        <v>209889.63863803999</v>
      </c>
      <c r="T93" s="2">
        <f t="shared" si="8"/>
        <v>0.11370202209775043</v>
      </c>
      <c r="U93" s="4">
        <f t="shared" si="9"/>
        <v>2.3394482797440306</v>
      </c>
      <c r="V93" s="4"/>
      <c r="W93" s="4"/>
      <c r="X93" s="3"/>
      <c r="Y93" s="3"/>
      <c r="AB93" s="3"/>
    </row>
    <row r="94" spans="1:28" x14ac:dyDescent="0.45">
      <c r="A94" t="s">
        <v>18</v>
      </c>
      <c r="B94" t="s">
        <v>17</v>
      </c>
      <c r="C94" s="1">
        <v>3</v>
      </c>
      <c r="D94">
        <v>125</v>
      </c>
      <c r="E94">
        <v>107</v>
      </c>
      <c r="F94" t="s">
        <v>17</v>
      </c>
      <c r="G94">
        <v>100</v>
      </c>
      <c r="H94" t="s">
        <v>15</v>
      </c>
      <c r="I94">
        <f t="shared" si="10"/>
        <v>10000</v>
      </c>
      <c r="J94">
        <v>1.07</v>
      </c>
      <c r="K94">
        <v>24.8</v>
      </c>
      <c r="L94" t="s">
        <v>15</v>
      </c>
      <c r="M94">
        <v>310</v>
      </c>
      <c r="O94">
        <v>0.216</v>
      </c>
      <c r="Q94" s="5">
        <f t="shared" si="7"/>
        <v>1.3306735778161654</v>
      </c>
      <c r="R94" s="2">
        <f>(0.18/1.5*MIN((1+SQRT(200/E94)),2)*(MIN(J94,2)*(K94-8))^(1/3))</f>
        <v>0.62869826452675115</v>
      </c>
      <c r="S94" s="2">
        <f>E94/1.15*IF(F94="k",(G94+4*E94)*PI(),IF(F94="q",4*G94+4*E94*PI(),2*G94+2*H94+4*E94*PI()))</f>
        <v>162323.80622938974</v>
      </c>
      <c r="T94" s="2">
        <f t="shared" si="8"/>
        <v>0.10205269526779397</v>
      </c>
      <c r="U94" s="4">
        <f t="shared" si="9"/>
        <v>2.1165536043237241</v>
      </c>
      <c r="V94" s="4"/>
      <c r="W94" s="4"/>
      <c r="X94" s="3"/>
      <c r="Y94" s="3"/>
      <c r="AB94" s="3"/>
    </row>
    <row r="95" spans="1:28" x14ac:dyDescent="0.45">
      <c r="A95" t="s">
        <v>18</v>
      </c>
      <c r="B95" t="s">
        <v>17</v>
      </c>
      <c r="C95" s="1">
        <v>3</v>
      </c>
      <c r="D95">
        <v>125</v>
      </c>
      <c r="E95">
        <v>107</v>
      </c>
      <c r="F95" t="s">
        <v>17</v>
      </c>
      <c r="G95">
        <v>100</v>
      </c>
      <c r="H95" t="s">
        <v>15</v>
      </c>
      <c r="I95">
        <f t="shared" si="10"/>
        <v>10000</v>
      </c>
      <c r="J95">
        <v>1.07</v>
      </c>
      <c r="K95">
        <v>38.4</v>
      </c>
      <c r="L95" t="s">
        <v>15</v>
      </c>
      <c r="M95">
        <v>330</v>
      </c>
      <c r="O95">
        <v>0.184</v>
      </c>
      <c r="Q95" s="5">
        <f t="shared" si="7"/>
        <v>1.1335367514730299</v>
      </c>
      <c r="R95" s="2">
        <f>(0.18/1.5*MIN((1+SQRT(200/E95)),2)*(MIN(J95,2)*(K95-8))^(1/3))</f>
        <v>0.76612040364538891</v>
      </c>
      <c r="S95" s="2">
        <f>E95/1.15*IF(F95="k",(G95+4*E95)*PI(),IF(F95="q",4*G95+4*E95*PI(),2*G95+2*H95+4*E95*PI()))</f>
        <v>162323.80622938974</v>
      </c>
      <c r="T95" s="2">
        <f t="shared" si="8"/>
        <v>0.12435957994971596</v>
      </c>
      <c r="U95" s="4">
        <f t="shared" si="9"/>
        <v>1.4795804237550438</v>
      </c>
      <c r="V95" s="4"/>
      <c r="W95" s="4"/>
      <c r="X95" s="3"/>
      <c r="Y95" s="3"/>
      <c r="AB95" s="3"/>
    </row>
    <row r="96" spans="1:28" x14ac:dyDescent="0.45">
      <c r="A96" t="s">
        <v>18</v>
      </c>
      <c r="B96" t="s">
        <v>17</v>
      </c>
      <c r="C96" s="1">
        <v>3</v>
      </c>
      <c r="D96">
        <v>125</v>
      </c>
      <c r="E96">
        <v>107</v>
      </c>
      <c r="F96" t="s">
        <v>17</v>
      </c>
      <c r="G96">
        <v>100</v>
      </c>
      <c r="H96" t="s">
        <v>15</v>
      </c>
      <c r="I96">
        <f t="shared" si="10"/>
        <v>10000</v>
      </c>
      <c r="J96">
        <v>1.07</v>
      </c>
      <c r="K96">
        <v>23.4</v>
      </c>
      <c r="L96" t="s">
        <v>15</v>
      </c>
      <c r="M96">
        <v>330</v>
      </c>
      <c r="O96">
        <v>0.19600000000000001</v>
      </c>
      <c r="Q96" s="5">
        <f t="shared" si="7"/>
        <v>1.2074630613517057</v>
      </c>
      <c r="R96" s="2">
        <f>(0.18/1.5*MIN((1+SQRT(200/E96)),2)*(MIN(J96,2)*(K96-8))^(1/3))</f>
        <v>0.61072552926580415</v>
      </c>
      <c r="S96" s="2">
        <f>E96/1.15*IF(F96="k",(G96+4*E96)*PI(),IF(F96="q",4*G96+4*E96*PI(),2*G96+2*H96+4*E96*PI()))</f>
        <v>162323.80622938974</v>
      </c>
      <c r="T96" s="2">
        <f t="shared" si="8"/>
        <v>9.9135292471883879E-2</v>
      </c>
      <c r="U96" s="4">
        <f t="shared" si="9"/>
        <v>1.9770960988044524</v>
      </c>
      <c r="V96" s="4"/>
      <c r="W96" s="4"/>
      <c r="X96" s="3"/>
      <c r="Y96" s="3"/>
      <c r="AB96" s="3"/>
    </row>
    <row r="97" spans="1:28" x14ac:dyDescent="0.45">
      <c r="A97" t="s">
        <v>18</v>
      </c>
      <c r="B97" t="s">
        <v>17</v>
      </c>
      <c r="C97" s="1">
        <v>3</v>
      </c>
      <c r="D97">
        <v>125</v>
      </c>
      <c r="E97">
        <v>107</v>
      </c>
      <c r="F97" t="s">
        <v>17</v>
      </c>
      <c r="G97">
        <v>250</v>
      </c>
      <c r="H97" t="s">
        <v>15</v>
      </c>
      <c r="I97">
        <f t="shared" si="10"/>
        <v>62500</v>
      </c>
      <c r="J97">
        <v>1.07</v>
      </c>
      <c r="K97">
        <v>32.1</v>
      </c>
      <c r="L97" t="s">
        <v>15</v>
      </c>
      <c r="M97">
        <v>330</v>
      </c>
      <c r="O97">
        <v>0.28299999999999997</v>
      </c>
      <c r="Q97" s="5">
        <f t="shared" si="7"/>
        <v>1.2972731541006166</v>
      </c>
      <c r="R97" s="2">
        <f>(0.18/1.5*MIN((1+SQRT(200/E97)),2)*(MIN(J97,2)*(K97-8))^(1/3))</f>
        <v>0.70905215581646575</v>
      </c>
      <c r="S97" s="2">
        <f>E97/1.15*IF(F97="k",(G97+4*E97)*PI(),IF(F97="q",4*G97+4*E97*PI(),2*G97+2*H97+4*E97*PI()))</f>
        <v>218149.89318591147</v>
      </c>
      <c r="T97" s="2">
        <f t="shared" si="8"/>
        <v>0.15467965205460224</v>
      </c>
      <c r="U97" s="4">
        <f t="shared" si="9"/>
        <v>1.8295877721531231</v>
      </c>
      <c r="V97" s="4"/>
      <c r="W97" s="4"/>
      <c r="X97" s="3"/>
      <c r="Y97" s="3"/>
      <c r="AB97" s="3"/>
    </row>
    <row r="98" spans="1:28" x14ac:dyDescent="0.45">
      <c r="A98" t="s">
        <v>18</v>
      </c>
      <c r="B98" t="s">
        <v>17</v>
      </c>
      <c r="C98" s="1">
        <v>3</v>
      </c>
      <c r="D98">
        <v>125</v>
      </c>
      <c r="E98">
        <v>107</v>
      </c>
      <c r="F98" t="s">
        <v>17</v>
      </c>
      <c r="G98">
        <v>100</v>
      </c>
      <c r="H98" t="s">
        <v>15</v>
      </c>
      <c r="I98">
        <f t="shared" si="10"/>
        <v>10000</v>
      </c>
      <c r="J98">
        <v>1.43</v>
      </c>
      <c r="K98">
        <v>34.700000000000003</v>
      </c>
      <c r="L98" t="s">
        <v>15</v>
      </c>
      <c r="M98">
        <v>330</v>
      </c>
      <c r="O98">
        <v>0.21099999999999999</v>
      </c>
      <c r="Q98" s="5">
        <f t="shared" si="7"/>
        <v>1.2998709487000504</v>
      </c>
      <c r="R98" s="2">
        <f>(0.18/1.5*MIN((1+SQRT(200/E98)),2)*(MIN(J98,2)*(K98-8))^(1/3))</f>
        <v>0.80815315856253744</v>
      </c>
      <c r="S98" s="2">
        <f>E98/1.15*IF(F98="k",(G98+4*E98)*PI(),IF(F98="q",4*G98+4*E98*PI(),2*G98+2*H98+4*E98*PI()))</f>
        <v>162323.80622938974</v>
      </c>
      <c r="T98" s="2">
        <f t="shared" si="8"/>
        <v>0.13118249671417459</v>
      </c>
      <c r="U98" s="4">
        <f t="shared" si="9"/>
        <v>1.6084462888348192</v>
      </c>
      <c r="V98" s="4"/>
      <c r="W98" s="4"/>
      <c r="X98" s="3"/>
      <c r="Y98" s="3"/>
      <c r="AB98" s="3"/>
    </row>
    <row r="99" spans="1:28" x14ac:dyDescent="0.45">
      <c r="A99" t="s">
        <v>18</v>
      </c>
      <c r="B99" t="s">
        <v>17</v>
      </c>
      <c r="C99" s="1">
        <v>1.78</v>
      </c>
      <c r="D99">
        <v>152</v>
      </c>
      <c r="E99">
        <v>114</v>
      </c>
      <c r="F99" t="s">
        <v>17</v>
      </c>
      <c r="G99">
        <v>254</v>
      </c>
      <c r="H99" t="s">
        <v>15</v>
      </c>
      <c r="I99">
        <f t="shared" si="10"/>
        <v>64516</v>
      </c>
      <c r="J99">
        <v>1.06</v>
      </c>
      <c r="K99">
        <v>23.3</v>
      </c>
      <c r="L99">
        <v>38</v>
      </c>
      <c r="M99">
        <v>399</v>
      </c>
      <c r="N99">
        <v>179</v>
      </c>
      <c r="O99">
        <v>0.38900000000000001</v>
      </c>
      <c r="Q99" s="5">
        <f t="shared" si="7"/>
        <v>1.6026206384892934</v>
      </c>
      <c r="R99" s="2">
        <f>(0.18/1.5*MIN((1+SQRT(200/E99)),2)*(MIN(J99,2)*(K99-8))^(1/3))</f>
        <v>0.60749635114406453</v>
      </c>
      <c r="S99" s="2">
        <f>E99/1.15*IF(F99="k",(G99+4*E99)*PI(),IF(F99="q",4*G99+4*E99*PI(),2*G99+2*H99+4*E99*PI()))</f>
        <v>242727.43696018416</v>
      </c>
      <c r="T99" s="2">
        <f t="shared" si="8"/>
        <v>0.14745603227586282</v>
      </c>
      <c r="U99" s="4">
        <f t="shared" si="9"/>
        <v>2.6380745093713993</v>
      </c>
      <c r="V99" s="4"/>
      <c r="W99" s="4"/>
      <c r="X99" s="3"/>
      <c r="Y99" s="3"/>
      <c r="AB99" s="3"/>
    </row>
    <row r="100" spans="1:28" x14ac:dyDescent="0.45">
      <c r="A100" t="s">
        <v>18</v>
      </c>
      <c r="B100" t="s">
        <v>17</v>
      </c>
      <c r="C100" s="1">
        <v>1.78</v>
      </c>
      <c r="D100">
        <v>152</v>
      </c>
      <c r="E100">
        <v>114</v>
      </c>
      <c r="F100" t="s">
        <v>17</v>
      </c>
      <c r="G100">
        <v>254</v>
      </c>
      <c r="H100" t="s">
        <v>15</v>
      </c>
      <c r="I100">
        <f t="shared" si="10"/>
        <v>64516</v>
      </c>
      <c r="J100">
        <v>1.06</v>
      </c>
      <c r="K100">
        <v>24.5</v>
      </c>
      <c r="L100">
        <v>38</v>
      </c>
      <c r="M100">
        <v>483</v>
      </c>
      <c r="N100">
        <v>172</v>
      </c>
      <c r="O100">
        <v>0.39200000000000002</v>
      </c>
      <c r="Q100" s="5">
        <f t="shared" si="7"/>
        <v>1.6149801806884394</v>
      </c>
      <c r="R100" s="2">
        <f>(0.18/1.5*MIN((1+SQRT(200/E100)),2)*(MIN(J100,2)*(K100-8))^(1/3))</f>
        <v>0.62298058402870515</v>
      </c>
      <c r="S100" s="2">
        <f>E100/1.15*IF(F100="k",(G100+4*E100)*PI(),IF(F100="q",4*G100+4*E100*PI(),2*G100+2*H100+4*E100*PI()))</f>
        <v>242727.43696018416</v>
      </c>
      <c r="T100" s="2">
        <f t="shared" si="8"/>
        <v>0.15121448043724625</v>
      </c>
      <c r="U100" s="4">
        <f t="shared" si="9"/>
        <v>2.5923443235496175</v>
      </c>
      <c r="V100" s="4"/>
      <c r="W100" s="4"/>
      <c r="X100" s="3"/>
      <c r="Y100" s="3"/>
      <c r="AB100" s="3"/>
    </row>
    <row r="101" spans="1:28" x14ac:dyDescent="0.45">
      <c r="A101" t="s">
        <v>18</v>
      </c>
      <c r="B101" t="s">
        <v>17</v>
      </c>
      <c r="C101" s="1">
        <v>1.78</v>
      </c>
      <c r="D101">
        <v>152</v>
      </c>
      <c r="E101">
        <v>114</v>
      </c>
      <c r="F101" t="s">
        <v>17</v>
      </c>
      <c r="G101">
        <v>203</v>
      </c>
      <c r="H101" t="s">
        <v>15</v>
      </c>
      <c r="I101">
        <f t="shared" si="10"/>
        <v>41209</v>
      </c>
      <c r="J101">
        <v>1.06</v>
      </c>
      <c r="K101">
        <v>22.2</v>
      </c>
      <c r="L101">
        <v>38</v>
      </c>
      <c r="M101">
        <v>399</v>
      </c>
      <c r="N101">
        <v>179</v>
      </c>
      <c r="O101">
        <v>0.34300000000000003</v>
      </c>
      <c r="Q101" s="5">
        <f t="shared" si="7"/>
        <v>1.54153958219825</v>
      </c>
      <c r="R101" s="2">
        <f>(0.18/1.5*MIN((1+SQRT(200/E101)),2)*(MIN(J101,2)*(K101-8))^(1/3))</f>
        <v>0.5925740718162229</v>
      </c>
      <c r="S101" s="2">
        <f>E101/1.15*IF(F101="k",(G101+4*E101)*PI(),IF(F101="q",4*G101+4*E101*PI(),2*G101+2*H101+4*E101*PI()))</f>
        <v>222504.828264532</v>
      </c>
      <c r="T101" s="2">
        <f t="shared" si="8"/>
        <v>0.13185059208348313</v>
      </c>
      <c r="U101" s="4">
        <f t="shared" si="9"/>
        <v>2.6014293495384879</v>
      </c>
      <c r="V101" s="4"/>
      <c r="W101" s="4"/>
      <c r="X101" s="3"/>
      <c r="Y101" s="3"/>
      <c r="AB101" s="3"/>
    </row>
    <row r="102" spans="1:28" x14ac:dyDescent="0.45">
      <c r="A102" t="s">
        <v>18</v>
      </c>
      <c r="B102" t="s">
        <v>17</v>
      </c>
      <c r="C102" s="1">
        <v>1.78</v>
      </c>
      <c r="D102">
        <v>152</v>
      </c>
      <c r="E102">
        <v>114</v>
      </c>
      <c r="F102" t="s">
        <v>17</v>
      </c>
      <c r="G102">
        <v>203</v>
      </c>
      <c r="H102" t="s">
        <v>15</v>
      </c>
      <c r="I102">
        <f t="shared" si="10"/>
        <v>41209</v>
      </c>
      <c r="J102">
        <v>1.06</v>
      </c>
      <c r="K102">
        <v>23</v>
      </c>
      <c r="L102">
        <v>38</v>
      </c>
      <c r="M102">
        <v>483</v>
      </c>
      <c r="N102">
        <v>172</v>
      </c>
      <c r="O102">
        <v>0.378</v>
      </c>
      <c r="Q102" s="5">
        <f t="shared" ref="Q102:Q165" si="11">O102/S102*10^6</f>
        <v>1.6988395395654183</v>
      </c>
      <c r="R102" s="2">
        <f>(0.18/1.5*MIN((1+SQRT(200/E102)),2)*(MIN(J102,2)*(K102-8))^(1/3))</f>
        <v>0.60349954891196134</v>
      </c>
      <c r="S102" s="2">
        <f>E102/1.15*IF(F102="k",(G102+4*E102)*PI(),IF(F102="q",4*G102+4*E102*PI(),2*G102+2*H102+4*E102*PI()))</f>
        <v>222504.828264532</v>
      </c>
      <c r="T102" s="2">
        <f t="shared" ref="T102:T165" si="12">R102*S102/10^6</f>
        <v>0.13428156348837847</v>
      </c>
      <c r="U102" s="4">
        <f t="shared" ref="U102:U165" si="13">O102/T102</f>
        <v>2.814980628615591</v>
      </c>
      <c r="V102" s="4"/>
      <c r="W102" s="4"/>
      <c r="X102" s="3"/>
      <c r="Y102" s="3"/>
      <c r="AB102" s="3"/>
    </row>
    <row r="103" spans="1:28" x14ac:dyDescent="0.45">
      <c r="A103" t="s">
        <v>18</v>
      </c>
      <c r="B103" t="s">
        <v>17</v>
      </c>
      <c r="C103" s="1">
        <v>1.78</v>
      </c>
      <c r="D103">
        <v>152</v>
      </c>
      <c r="E103">
        <v>114</v>
      </c>
      <c r="F103" t="s">
        <v>20</v>
      </c>
      <c r="G103">
        <v>152</v>
      </c>
      <c r="H103">
        <v>457</v>
      </c>
      <c r="I103">
        <f t="shared" si="10"/>
        <v>69464</v>
      </c>
      <c r="J103">
        <v>1.38</v>
      </c>
      <c r="K103">
        <v>27.6</v>
      </c>
      <c r="L103">
        <v>10</v>
      </c>
      <c r="M103">
        <v>328</v>
      </c>
      <c r="N103">
        <v>196</v>
      </c>
      <c r="O103">
        <v>0.39400000000000002</v>
      </c>
      <c r="Q103" s="5">
        <f t="shared" si="11"/>
        <v>1.499514076832968</v>
      </c>
      <c r="R103" s="2">
        <f>(0.18/1.5*MIN((1+SQRT(200/E103)),2)*(MIN(J103,2)*(K103-8))^(1/3))</f>
        <v>0.72042641407658292</v>
      </c>
      <c r="S103" s="2">
        <f>E103/1.15*IF(F103="k",(G103+4*E103)*PI(),IF(F103="q",4*G103+4*E103*PI(),2*G103+2*H103+4*E103*PI()))</f>
        <v>262751.78478627111</v>
      </c>
      <c r="T103" s="2">
        <f t="shared" si="12"/>
        <v>0.18929332610579533</v>
      </c>
      <c r="U103" s="4">
        <f t="shared" si="13"/>
        <v>2.0814257327793739</v>
      </c>
      <c r="V103" s="4"/>
      <c r="W103" s="4"/>
      <c r="X103" s="3"/>
      <c r="Y103" s="3"/>
      <c r="AB103" s="3"/>
    </row>
    <row r="104" spans="1:28" x14ac:dyDescent="0.45">
      <c r="A104" t="s">
        <v>18</v>
      </c>
      <c r="B104" t="s">
        <v>17</v>
      </c>
      <c r="C104" s="1">
        <v>1.78</v>
      </c>
      <c r="D104">
        <v>152</v>
      </c>
      <c r="E104">
        <v>114</v>
      </c>
      <c r="F104" t="s">
        <v>17</v>
      </c>
      <c r="G104">
        <v>152</v>
      </c>
      <c r="H104" t="s">
        <v>15</v>
      </c>
      <c r="I104">
        <f t="shared" si="10"/>
        <v>23104</v>
      </c>
      <c r="J104">
        <v>1.38</v>
      </c>
      <c r="K104">
        <v>26.5</v>
      </c>
      <c r="L104">
        <v>10</v>
      </c>
      <c r="M104">
        <v>328</v>
      </c>
      <c r="N104">
        <v>196</v>
      </c>
      <c r="O104">
        <v>0.311</v>
      </c>
      <c r="Q104" s="5">
        <f t="shared" si="11"/>
        <v>1.5374559398390439</v>
      </c>
      <c r="R104" s="2">
        <f>(0.18/1.5*MIN((1+SQRT(200/E104)),2)*(MIN(J104,2)*(K104-8))^(1/3))</f>
        <v>0.70668875371019457</v>
      </c>
      <c r="S104" s="2">
        <f>E104/1.15*IF(F104="k",(G104+4*E104)*PI(),IF(F104="q",4*G104+4*E104*PI(),2*G104+2*H104+4*E104*PI()))</f>
        <v>202282.21956887984</v>
      </c>
      <c r="T104" s="2">
        <f t="shared" si="12"/>
        <v>0.14295056964486363</v>
      </c>
      <c r="U104" s="4">
        <f t="shared" si="13"/>
        <v>2.1755771996755704</v>
      </c>
      <c r="V104" s="4"/>
      <c r="W104" s="4"/>
      <c r="X104" s="3"/>
      <c r="Y104" s="3"/>
      <c r="AB104" s="3"/>
    </row>
    <row r="105" spans="1:28" x14ac:dyDescent="0.45">
      <c r="A105" t="s">
        <v>18</v>
      </c>
      <c r="B105" t="s">
        <v>17</v>
      </c>
      <c r="C105" s="1">
        <v>1.78</v>
      </c>
      <c r="D105">
        <v>152</v>
      </c>
      <c r="E105">
        <v>114</v>
      </c>
      <c r="F105" t="s">
        <v>17</v>
      </c>
      <c r="G105">
        <v>254</v>
      </c>
      <c r="H105" t="s">
        <v>15</v>
      </c>
      <c r="I105">
        <f t="shared" si="10"/>
        <v>64516</v>
      </c>
      <c r="J105">
        <v>1.1499999999999999</v>
      </c>
      <c r="K105">
        <v>26.1</v>
      </c>
      <c r="L105">
        <v>38</v>
      </c>
      <c r="M105">
        <v>328</v>
      </c>
      <c r="N105">
        <v>196</v>
      </c>
      <c r="O105">
        <v>0.371</v>
      </c>
      <c r="Q105" s="5">
        <f t="shared" si="11"/>
        <v>1.5284633852944158</v>
      </c>
      <c r="R105" s="2">
        <f>(0.18/1.5*MIN((1+SQRT(200/E105)),2)*(MIN(J105,2)*(K105-8))^(1/3))</f>
        <v>0.66019167986336158</v>
      </c>
      <c r="S105" s="2">
        <f>E105/1.15*IF(F105="k",(G105+4*E105)*PI(),IF(F105="q",4*G105+4*E105*PI(),2*G105+2*H105+4*E105*PI()))</f>
        <v>242727.43696018416</v>
      </c>
      <c r="T105" s="2">
        <f t="shared" si="12"/>
        <v>0.16024663435567216</v>
      </c>
      <c r="U105" s="4">
        <f t="shared" si="13"/>
        <v>2.3151812298070142</v>
      </c>
      <c r="V105" s="4"/>
      <c r="W105" s="4"/>
      <c r="X105" s="3"/>
      <c r="Y105" s="3"/>
      <c r="AB105" s="3"/>
    </row>
    <row r="106" spans="1:28" x14ac:dyDescent="0.45">
      <c r="A106" t="s">
        <v>18</v>
      </c>
      <c r="B106" t="s">
        <v>17</v>
      </c>
      <c r="C106" s="1">
        <v>1.78</v>
      </c>
      <c r="D106">
        <v>152</v>
      </c>
      <c r="E106">
        <v>114</v>
      </c>
      <c r="F106" t="s">
        <v>17</v>
      </c>
      <c r="G106">
        <v>305</v>
      </c>
      <c r="H106" t="s">
        <v>15</v>
      </c>
      <c r="I106">
        <f t="shared" si="10"/>
        <v>93025</v>
      </c>
      <c r="J106">
        <v>1.5</v>
      </c>
      <c r="K106">
        <v>20.8</v>
      </c>
      <c r="L106">
        <v>38</v>
      </c>
      <c r="M106">
        <v>481</v>
      </c>
      <c r="N106">
        <v>196</v>
      </c>
      <c r="O106">
        <v>0.433</v>
      </c>
      <c r="Q106" s="5">
        <f t="shared" si="11"/>
        <v>1.6467006077904793</v>
      </c>
      <c r="R106" s="2">
        <f>(0.18/1.5*MIN((1+SQRT(200/E106)),2)*(MIN(J106,2)*(K106-8))^(1/3))</f>
        <v>0.64265563207888277</v>
      </c>
      <c r="S106" s="2">
        <f>E106/1.15*IF(F106="k",(G106+4*E106)*PI(),IF(F106="q",4*G106+4*E106*PI(),2*G106+2*H106+4*E106*PI()))</f>
        <v>262950.04565583635</v>
      </c>
      <c r="T106" s="2">
        <f t="shared" si="12"/>
        <v>0.16898632779612258</v>
      </c>
      <c r="U106" s="4">
        <f t="shared" si="13"/>
        <v>2.5623374721912575</v>
      </c>
      <c r="V106" s="4"/>
      <c r="W106" s="4"/>
      <c r="X106" s="3"/>
      <c r="Y106" s="3"/>
      <c r="AB106" s="3"/>
    </row>
    <row r="107" spans="1:28" x14ac:dyDescent="0.45">
      <c r="A107" t="s">
        <v>14</v>
      </c>
      <c r="B107" t="s">
        <v>14</v>
      </c>
      <c r="C107" s="1">
        <v>1.71</v>
      </c>
      <c r="D107">
        <v>149</v>
      </c>
      <c r="E107">
        <v>117</v>
      </c>
      <c r="F107" t="s">
        <v>14</v>
      </c>
      <c r="G107">
        <v>150</v>
      </c>
      <c r="H107" t="s">
        <v>15</v>
      </c>
      <c r="I107">
        <f t="shared" si="10"/>
        <v>17671.458676442588</v>
      </c>
      <c r="J107">
        <v>0.8</v>
      </c>
      <c r="K107">
        <v>25.5</v>
      </c>
      <c r="L107">
        <v>32</v>
      </c>
      <c r="M107">
        <v>441</v>
      </c>
      <c r="N107">
        <v>210</v>
      </c>
      <c r="O107">
        <v>0.255</v>
      </c>
      <c r="Q107" s="5">
        <f t="shared" si="11"/>
        <v>1.2909630476502172</v>
      </c>
      <c r="R107" s="2">
        <f>(0.18/1.5*MIN((1+SQRT(200/E107)),2)*(MIN(J107,2)*(K107-8))^(1/3))</f>
        <v>0.57843414340205512</v>
      </c>
      <c r="S107" s="2">
        <f>E107/1.15*IF(F107="k",(G107+4*E107)*PI(),IF(F107="q",4*G107+4*E107*PI(),2*G107+2*H107+4*E107*PI()))</f>
        <v>197526.95513953359</v>
      </c>
      <c r="T107" s="2">
        <f t="shared" si="12"/>
        <v>0.11425633509495228</v>
      </c>
      <c r="U107" s="4">
        <f t="shared" si="13"/>
        <v>2.2318237302822923</v>
      </c>
      <c r="V107" s="4"/>
      <c r="W107" s="4"/>
      <c r="X107" s="3"/>
      <c r="Y107" s="3"/>
      <c r="AB107" s="3"/>
    </row>
    <row r="108" spans="1:28" x14ac:dyDescent="0.45">
      <c r="A108" t="s">
        <v>14</v>
      </c>
      <c r="B108" t="s">
        <v>14</v>
      </c>
      <c r="C108" s="1">
        <v>1.71</v>
      </c>
      <c r="D108">
        <v>151</v>
      </c>
      <c r="E108">
        <v>118</v>
      </c>
      <c r="F108" t="s">
        <v>14</v>
      </c>
      <c r="G108">
        <v>150</v>
      </c>
      <c r="H108" t="s">
        <v>15</v>
      </c>
      <c r="I108">
        <f t="shared" si="10"/>
        <v>17671.458676442588</v>
      </c>
      <c r="J108">
        <v>0.79</v>
      </c>
      <c r="K108">
        <v>24.9</v>
      </c>
      <c r="L108">
        <v>32</v>
      </c>
      <c r="M108">
        <v>454</v>
      </c>
      <c r="N108">
        <v>210</v>
      </c>
      <c r="O108">
        <v>0.27500000000000002</v>
      </c>
      <c r="Q108" s="5">
        <f t="shared" si="11"/>
        <v>1.3715393414576247</v>
      </c>
      <c r="R108" s="2">
        <f>(0.18/1.5*MIN((1+SQRT(200/E108)),2)*(MIN(J108,2)*(K108-8))^(1/3))</f>
        <v>0.56935417157898216</v>
      </c>
      <c r="S108" s="2">
        <f>E108/1.15*IF(F108="k",(G108+4*E108)*PI(),IF(F108="q",4*G108+4*E108*PI(),2*G108+2*H108+4*E108*PI()))</f>
        <v>200504.63861119692</v>
      </c>
      <c r="T108" s="2">
        <f t="shared" si="12"/>
        <v>0.11415815241422121</v>
      </c>
      <c r="U108" s="4">
        <f t="shared" si="13"/>
        <v>2.4089387764630814</v>
      </c>
      <c r="V108" s="4"/>
      <c r="W108" s="4"/>
      <c r="X108" s="3"/>
      <c r="Y108" s="3"/>
      <c r="AB108" s="3"/>
    </row>
    <row r="109" spans="1:28" x14ac:dyDescent="0.45">
      <c r="A109" t="s">
        <v>14</v>
      </c>
      <c r="B109" t="s">
        <v>14</v>
      </c>
      <c r="C109" s="1">
        <v>1.71</v>
      </c>
      <c r="D109">
        <v>150</v>
      </c>
      <c r="E109">
        <v>117</v>
      </c>
      <c r="F109" t="s">
        <v>14</v>
      </c>
      <c r="G109">
        <v>150</v>
      </c>
      <c r="H109" t="s">
        <v>15</v>
      </c>
      <c r="I109">
        <f t="shared" si="10"/>
        <v>17671.458676442588</v>
      </c>
      <c r="J109">
        <v>1.3</v>
      </c>
      <c r="K109">
        <v>24.7</v>
      </c>
      <c r="L109">
        <v>32</v>
      </c>
      <c r="M109">
        <v>446</v>
      </c>
      <c r="O109">
        <v>0.27500000000000002</v>
      </c>
      <c r="Q109" s="5">
        <f t="shared" si="11"/>
        <v>1.3922150513874894</v>
      </c>
      <c r="R109" s="2">
        <f>(0.18/1.5*MIN((1+SQRT(200/E109)),2)*(MIN(J109,2)*(K109-8))^(1/3))</f>
        <v>0.66952148203823925</v>
      </c>
      <c r="S109" s="2">
        <f>E109/1.15*IF(F109="k",(G109+4*E109)*PI(),IF(F109="q",4*G109+4*E109*PI(),2*G109+2*H109+4*E109*PI()))</f>
        <v>197526.95513953359</v>
      </c>
      <c r="T109" s="2">
        <f t="shared" si="12"/>
        <v>0.13224853974752135</v>
      </c>
      <c r="U109" s="4">
        <f t="shared" si="13"/>
        <v>2.0794180451822659</v>
      </c>
      <c r="V109" s="4"/>
      <c r="W109" s="4"/>
      <c r="X109" s="3"/>
      <c r="Y109" s="3"/>
      <c r="AB109" s="3"/>
    </row>
    <row r="110" spans="1:28" x14ac:dyDescent="0.45">
      <c r="A110" t="s">
        <v>14</v>
      </c>
      <c r="B110" t="s">
        <v>14</v>
      </c>
      <c r="C110" s="1">
        <v>1.71</v>
      </c>
      <c r="D110">
        <v>150</v>
      </c>
      <c r="E110">
        <v>117</v>
      </c>
      <c r="F110" t="s">
        <v>14</v>
      </c>
      <c r="G110">
        <v>150</v>
      </c>
      <c r="H110" t="s">
        <v>15</v>
      </c>
      <c r="I110">
        <f t="shared" si="10"/>
        <v>17671.458676442588</v>
      </c>
      <c r="J110">
        <v>1.3</v>
      </c>
      <c r="K110">
        <v>24.7</v>
      </c>
      <c r="L110">
        <v>32</v>
      </c>
      <c r="M110">
        <v>448</v>
      </c>
      <c r="O110">
        <v>0.27500000000000002</v>
      </c>
      <c r="Q110" s="5">
        <f t="shared" si="11"/>
        <v>1.3922150513874894</v>
      </c>
      <c r="R110" s="2">
        <f>(0.18/1.5*MIN((1+SQRT(200/E110)),2)*(MIN(J110,2)*(K110-8))^(1/3))</f>
        <v>0.66952148203823925</v>
      </c>
      <c r="S110" s="2">
        <f>E110/1.15*IF(F110="k",(G110+4*E110)*PI(),IF(F110="q",4*G110+4*E110*PI(),2*G110+2*H110+4*E110*PI()))</f>
        <v>197526.95513953359</v>
      </c>
      <c r="T110" s="2">
        <f t="shared" si="12"/>
        <v>0.13224853974752135</v>
      </c>
      <c r="U110" s="4">
        <f t="shared" si="13"/>
        <v>2.0794180451822659</v>
      </c>
      <c r="V110" s="4"/>
      <c r="W110" s="4"/>
      <c r="X110" s="3"/>
      <c r="Y110" s="3"/>
      <c r="AB110" s="3"/>
    </row>
    <row r="111" spans="1:28" x14ac:dyDescent="0.45">
      <c r="A111" t="s">
        <v>14</v>
      </c>
      <c r="B111" t="s">
        <v>14</v>
      </c>
      <c r="C111" s="1">
        <v>1.71</v>
      </c>
      <c r="D111">
        <v>153</v>
      </c>
      <c r="E111">
        <v>121</v>
      </c>
      <c r="F111" t="s">
        <v>14</v>
      </c>
      <c r="G111">
        <v>150</v>
      </c>
      <c r="H111" t="s">
        <v>15</v>
      </c>
      <c r="I111">
        <f t="shared" si="10"/>
        <v>17671.458676442588</v>
      </c>
      <c r="J111">
        <v>1.53</v>
      </c>
      <c r="K111">
        <v>30.5</v>
      </c>
      <c r="L111">
        <v>32</v>
      </c>
      <c r="M111">
        <v>436</v>
      </c>
      <c r="N111">
        <v>210</v>
      </c>
      <c r="O111">
        <v>0.33300000000000002</v>
      </c>
      <c r="Q111" s="5">
        <f t="shared" si="11"/>
        <v>1.5889768609912487</v>
      </c>
      <c r="R111" s="2">
        <f>(0.18/1.5*MIN((1+SQRT(200/E111)),2)*(MIN(J111,2)*(K111-8))^(1/3))</f>
        <v>0.78073303869007082</v>
      </c>
      <c r="S111" s="2">
        <f>E111/1.15*IF(F111="k",(G111+4*E111)*PI(),IF(F111="q",4*G111+4*E111*PI(),2*G111+2*H111+4*E111*PI()))</f>
        <v>209568.81637172817</v>
      </c>
      <c r="T111" s="2">
        <f t="shared" si="12"/>
        <v>0.16361729882058079</v>
      </c>
      <c r="U111" s="4">
        <f t="shared" si="13"/>
        <v>2.0352371197935533</v>
      </c>
      <c r="V111" s="4"/>
      <c r="W111" s="4"/>
      <c r="X111" s="3"/>
      <c r="Y111" s="3"/>
      <c r="AB111" s="3"/>
    </row>
    <row r="112" spans="1:28" x14ac:dyDescent="0.45">
      <c r="A112" t="s">
        <v>14</v>
      </c>
      <c r="B112" t="s">
        <v>14</v>
      </c>
      <c r="C112" s="1">
        <v>1.71</v>
      </c>
      <c r="D112">
        <v>154</v>
      </c>
      <c r="E112">
        <v>122</v>
      </c>
      <c r="F112" t="s">
        <v>14</v>
      </c>
      <c r="G112">
        <v>150</v>
      </c>
      <c r="H112" t="s">
        <v>15</v>
      </c>
      <c r="I112">
        <f t="shared" si="10"/>
        <v>17671.458676442588</v>
      </c>
      <c r="J112">
        <v>1.54</v>
      </c>
      <c r="K112">
        <v>29.4</v>
      </c>
      <c r="L112">
        <v>32</v>
      </c>
      <c r="M112">
        <v>439</v>
      </c>
      <c r="N112">
        <v>210</v>
      </c>
      <c r="O112">
        <v>0.33200000000000002</v>
      </c>
      <c r="Q112" s="5">
        <f t="shared" si="11"/>
        <v>1.5613689622407534</v>
      </c>
      <c r="R112" s="2">
        <f>(0.18/1.5*MIN((1+SQRT(200/E112)),2)*(MIN(J112,2)*(K112-8))^(1/3))</f>
        <v>0.76946595003017393</v>
      </c>
      <c r="S112" s="2">
        <f>E112/1.15*IF(F112="k",(G112+4*E112)*PI(),IF(F112="q",4*G112+4*E112*PI(),2*G112+2*H112+4*E112*PI()))</f>
        <v>212633.91807375231</v>
      </c>
      <c r="T112" s="2">
        <f t="shared" si="12"/>
        <v>0.16361455977925801</v>
      </c>
      <c r="U112" s="4">
        <f t="shared" si="13"/>
        <v>2.0291592658252462</v>
      </c>
      <c r="V112" s="4"/>
      <c r="W112" s="4"/>
      <c r="X112" s="3"/>
      <c r="Y112" s="3"/>
      <c r="AB112" s="3"/>
    </row>
    <row r="113" spans="1:28" x14ac:dyDescent="0.45">
      <c r="A113" t="s">
        <v>14</v>
      </c>
      <c r="B113" t="s">
        <v>14</v>
      </c>
      <c r="C113" s="1">
        <v>1.71</v>
      </c>
      <c r="D113">
        <v>158</v>
      </c>
      <c r="E113">
        <v>128</v>
      </c>
      <c r="F113" t="s">
        <v>14</v>
      </c>
      <c r="G113">
        <v>300</v>
      </c>
      <c r="H113" t="s">
        <v>15</v>
      </c>
      <c r="I113">
        <f t="shared" si="10"/>
        <v>70685.83470577035</v>
      </c>
      <c r="J113">
        <v>1.01</v>
      </c>
      <c r="K113">
        <v>25.1</v>
      </c>
      <c r="L113" t="s">
        <v>15</v>
      </c>
      <c r="M113">
        <v>455</v>
      </c>
      <c r="N113">
        <v>210</v>
      </c>
      <c r="O113">
        <v>0.43</v>
      </c>
      <c r="Q113" s="5">
        <f t="shared" si="11"/>
        <v>1.5144342549057543</v>
      </c>
      <c r="R113" s="2">
        <f>(0.18/1.5*MIN((1+SQRT(200/E113)),2)*(MIN(J113,2)*(K113-8))^(1/3))</f>
        <v>0.62036945028757762</v>
      </c>
      <c r="S113" s="2">
        <f>E113/1.15*IF(F113="k",(G113+4*E113)*PI(),IF(F113="q",4*G113+4*E113*PI(),2*G113+2*H113+4*E113*PI()))</f>
        <v>283934.41221174673</v>
      </c>
      <c r="T113" s="2">
        <f t="shared" si="12"/>
        <v>0.17614423522152778</v>
      </c>
      <c r="U113" s="4">
        <f t="shared" si="13"/>
        <v>2.441181225483823</v>
      </c>
      <c r="V113" s="4"/>
      <c r="W113" s="4"/>
      <c r="X113" s="3"/>
      <c r="Y113" s="3"/>
      <c r="AB113" s="3"/>
    </row>
    <row r="114" spans="1:28" x14ac:dyDescent="0.45">
      <c r="A114" t="s">
        <v>14</v>
      </c>
      <c r="B114" t="s">
        <v>14</v>
      </c>
      <c r="C114" s="1">
        <v>1.71</v>
      </c>
      <c r="D114">
        <v>154</v>
      </c>
      <c r="E114">
        <v>124</v>
      </c>
      <c r="F114" t="s">
        <v>14</v>
      </c>
      <c r="G114">
        <v>300</v>
      </c>
      <c r="H114" t="s">
        <v>15</v>
      </c>
      <c r="I114">
        <f t="shared" si="10"/>
        <v>70685.83470577035</v>
      </c>
      <c r="J114">
        <v>1.04</v>
      </c>
      <c r="K114">
        <v>23.8</v>
      </c>
      <c r="L114" t="s">
        <v>15</v>
      </c>
      <c r="M114">
        <v>451</v>
      </c>
      <c r="N114">
        <v>210</v>
      </c>
      <c r="O114">
        <v>0.40799999999999997</v>
      </c>
      <c r="Q114" s="5">
        <f t="shared" si="11"/>
        <v>1.5131200214523683</v>
      </c>
      <c r="R114" s="2">
        <f>(0.18/1.5*MIN((1+SQRT(200/E114)),2)*(MIN(J114,2)*(K114-8))^(1/3))</f>
        <v>0.61015669897096991</v>
      </c>
      <c r="S114" s="2">
        <f>E114/1.15*IF(F114="k",(G114+4*E114)*PI(),IF(F114="q",4*G114+4*E114*PI(),2*G114+2*H114+4*E114*PI()))</f>
        <v>269641.53154776257</v>
      </c>
      <c r="T114" s="2">
        <f t="shared" si="12"/>
        <v>0.16452358679465948</v>
      </c>
      <c r="U114" s="4">
        <f t="shared" si="13"/>
        <v>2.4798875829835962</v>
      </c>
      <c r="V114" s="4"/>
      <c r="W114" s="4"/>
      <c r="X114" s="3"/>
      <c r="Y114" s="3"/>
      <c r="AB114" s="3"/>
    </row>
    <row r="115" spans="1:28" x14ac:dyDescent="0.45">
      <c r="A115" t="s">
        <v>14</v>
      </c>
      <c r="B115" t="s">
        <v>14</v>
      </c>
      <c r="C115" s="1">
        <v>1.71</v>
      </c>
      <c r="D115">
        <v>151</v>
      </c>
      <c r="E115">
        <v>119</v>
      </c>
      <c r="F115" t="s">
        <v>14</v>
      </c>
      <c r="G115">
        <v>300</v>
      </c>
      <c r="H115" t="s">
        <v>15</v>
      </c>
      <c r="I115">
        <f t="shared" si="10"/>
        <v>70685.83470577035</v>
      </c>
      <c r="J115">
        <v>1.72</v>
      </c>
      <c r="K115">
        <v>24.6</v>
      </c>
      <c r="L115">
        <v>32</v>
      </c>
      <c r="M115">
        <v>437</v>
      </c>
      <c r="N115">
        <v>210</v>
      </c>
      <c r="O115">
        <v>0.36799999999999999</v>
      </c>
      <c r="Q115" s="5">
        <f t="shared" si="11"/>
        <v>1.4587709416202483</v>
      </c>
      <c r="R115" s="2">
        <f>(0.18/1.5*MIN((1+SQRT(200/E115)),2)*(MIN(J115,2)*(K115-8))^(1/3))</f>
        <v>0.73353935662294523</v>
      </c>
      <c r="S115" s="2">
        <f>E115/1.15*IF(F115="k",(G115+4*E115)*PI(),IF(F115="q",4*G115+4*E115*PI(),2*G115+2*H115+4*E115*PI()))</f>
        <v>252267.15826356161</v>
      </c>
      <c r="T115" s="2">
        <f t="shared" si="12"/>
        <v>0.18504788896975169</v>
      </c>
      <c r="U115" s="4">
        <f t="shared" si="13"/>
        <v>1.9886744023335172</v>
      </c>
      <c r="V115" s="4"/>
      <c r="W115" s="4"/>
      <c r="X115" s="3"/>
      <c r="Y115" s="3"/>
      <c r="AB115" s="3"/>
    </row>
    <row r="116" spans="1:28" x14ac:dyDescent="0.45">
      <c r="A116" t="s">
        <v>14</v>
      </c>
      <c r="B116" t="s">
        <v>14</v>
      </c>
      <c r="C116" s="1">
        <v>1.71</v>
      </c>
      <c r="D116">
        <v>151</v>
      </c>
      <c r="E116">
        <v>120</v>
      </c>
      <c r="F116" t="s">
        <v>14</v>
      </c>
      <c r="G116">
        <v>300</v>
      </c>
      <c r="H116" t="s">
        <v>15</v>
      </c>
      <c r="I116">
        <f t="shared" si="10"/>
        <v>70685.83470577035</v>
      </c>
      <c r="J116">
        <v>2.16</v>
      </c>
      <c r="K116">
        <v>28.6</v>
      </c>
      <c r="L116" t="s">
        <v>15</v>
      </c>
      <c r="M116">
        <v>436</v>
      </c>
      <c r="N116">
        <v>210</v>
      </c>
      <c r="O116">
        <v>0.49</v>
      </c>
      <c r="Q116" s="5">
        <f t="shared" si="11"/>
        <v>1.9163207357325429</v>
      </c>
      <c r="R116" s="2">
        <f>(0.18/1.5*MIN((1+SQRT(200/E116)),2)*(MIN(J116,2)*(K116-8))^(1/3))</f>
        <v>0.82891560131276398</v>
      </c>
      <c r="S116" s="2">
        <f>E116/1.15*IF(F116="k",(G116+4*E116)*PI(),IF(F116="q",4*G116+4*E116*PI(),2*G116+2*H116+4*E116*PI()))</f>
        <v>255698.32380522144</v>
      </c>
      <c r="T116" s="2">
        <f t="shared" si="12"/>
        <v>0.21195232983167098</v>
      </c>
      <c r="U116" s="4">
        <f t="shared" si="13"/>
        <v>2.3118405935388862</v>
      </c>
      <c r="V116" s="4"/>
      <c r="W116" s="4"/>
      <c r="X116" s="3"/>
      <c r="Y116" s="3"/>
      <c r="AB116" s="3"/>
    </row>
    <row r="117" spans="1:28" x14ac:dyDescent="0.45">
      <c r="A117" t="s">
        <v>14</v>
      </c>
      <c r="B117" t="s">
        <v>14</v>
      </c>
      <c r="C117" s="1">
        <v>1.71</v>
      </c>
      <c r="D117">
        <v>151</v>
      </c>
      <c r="E117">
        <v>119</v>
      </c>
      <c r="F117" t="s">
        <v>14</v>
      </c>
      <c r="G117">
        <v>300</v>
      </c>
      <c r="H117" t="s">
        <v>15</v>
      </c>
      <c r="I117">
        <f t="shared" si="10"/>
        <v>70685.83470577035</v>
      </c>
      <c r="J117">
        <v>2.1800000000000002</v>
      </c>
      <c r="K117">
        <v>28.6</v>
      </c>
      <c r="L117" t="s">
        <v>15</v>
      </c>
      <c r="M117">
        <v>448</v>
      </c>
      <c r="N117">
        <v>210</v>
      </c>
      <c r="O117">
        <v>0.53900000000000003</v>
      </c>
      <c r="Q117" s="5">
        <f t="shared" si="11"/>
        <v>2.136623743297049</v>
      </c>
      <c r="R117" s="2">
        <f>(0.18/1.5*MIN((1+SQRT(200/E117)),2)*(MIN(J117,2)*(K117-8))^(1/3))</f>
        <v>0.82891560131276398</v>
      </c>
      <c r="S117" s="2">
        <f>E117/1.15*IF(F117="k",(G117+4*E117)*PI(),IF(F117="q",4*G117+4*E117*PI(),2*G117+2*H117+4*E117*PI()))</f>
        <v>252267.15826356161</v>
      </c>
      <c r="T117" s="2">
        <f t="shared" si="12"/>
        <v>0.20910818318350238</v>
      </c>
      <c r="U117" s="4">
        <f t="shared" si="13"/>
        <v>2.5776131368661068</v>
      </c>
      <c r="V117" s="4"/>
      <c r="W117" s="4"/>
      <c r="X117" s="3"/>
      <c r="Y117" s="3"/>
      <c r="AB117" s="3"/>
    </row>
    <row r="118" spans="1:28" x14ac:dyDescent="0.45">
      <c r="A118" t="s">
        <v>14</v>
      </c>
      <c r="B118" t="s">
        <v>14</v>
      </c>
      <c r="C118" s="1">
        <v>1.71</v>
      </c>
      <c r="D118">
        <v>155</v>
      </c>
      <c r="E118">
        <v>123</v>
      </c>
      <c r="F118" t="s">
        <v>14</v>
      </c>
      <c r="G118">
        <v>300</v>
      </c>
      <c r="H118" t="s">
        <v>15</v>
      </c>
      <c r="I118">
        <f t="shared" si="10"/>
        <v>70685.83470577035</v>
      </c>
      <c r="J118">
        <v>0.49</v>
      </c>
      <c r="K118">
        <v>25</v>
      </c>
      <c r="L118" t="s">
        <v>15</v>
      </c>
      <c r="M118">
        <v>448</v>
      </c>
      <c r="N118">
        <v>210</v>
      </c>
      <c r="O118">
        <v>0.25800000000000001</v>
      </c>
      <c r="Q118" s="5">
        <f t="shared" si="11"/>
        <v>0.96947671050680273</v>
      </c>
      <c r="R118" s="2">
        <f>(0.18/1.5*MIN((1+SQRT(200/E118)),2)*(MIN(J118,2)*(K118-8))^(1/3))</f>
        <v>0.48651127417242024</v>
      </c>
      <c r="S118" s="2">
        <f>E118/1.15*IF(F118="k",(G118+4*E118)*PI(),IF(F118="q",4*G118+4*E118*PI(),2*G118+2*H118+4*E118*PI()))</f>
        <v>266122.94777574204</v>
      </c>
      <c r="T118" s="2">
        <f t="shared" si="12"/>
        <v>0.12947181440889671</v>
      </c>
      <c r="U118" s="4">
        <f t="shared" si="13"/>
        <v>1.9927117046895375</v>
      </c>
      <c r="V118" s="4"/>
      <c r="W118" s="4"/>
      <c r="X118" s="3"/>
      <c r="Y118" s="3"/>
      <c r="AB118" s="3"/>
    </row>
    <row r="119" spans="1:28" x14ac:dyDescent="0.45">
      <c r="A119" t="s">
        <v>14</v>
      </c>
      <c r="B119" t="s">
        <v>14</v>
      </c>
      <c r="C119" s="1">
        <v>1.71</v>
      </c>
      <c r="D119">
        <v>156</v>
      </c>
      <c r="E119">
        <v>125</v>
      </c>
      <c r="F119" t="s">
        <v>14</v>
      </c>
      <c r="G119">
        <v>300</v>
      </c>
      <c r="H119" t="s">
        <v>15</v>
      </c>
      <c r="I119">
        <f t="shared" si="10"/>
        <v>70685.83470577035</v>
      </c>
      <c r="J119">
        <v>0.48</v>
      </c>
      <c r="K119">
        <v>25.3</v>
      </c>
      <c r="L119" t="s">
        <v>15</v>
      </c>
      <c r="M119">
        <v>462</v>
      </c>
      <c r="N119">
        <v>210</v>
      </c>
      <c r="O119">
        <v>0.25800000000000001</v>
      </c>
      <c r="Q119" s="5">
        <f t="shared" si="11"/>
        <v>0.94442543230730702</v>
      </c>
      <c r="R119" s="2">
        <f>(0.18/1.5*MIN((1+SQRT(200/E119)),2)*(MIN(J119,2)*(K119-8))^(1/3))</f>
        <v>0.48600457243068929</v>
      </c>
      <c r="S119" s="2">
        <f>E119/1.15*IF(F119="k",(G119+4*E119)*PI(),IF(F119="q",4*G119+4*E119*PI(),2*G119+2*H119+4*E119*PI()))</f>
        <v>273181.96987737331</v>
      </c>
      <c r="T119" s="2">
        <f t="shared" si="12"/>
        <v>0.13276768646602627</v>
      </c>
      <c r="U119" s="4">
        <f t="shared" si="13"/>
        <v>1.9432439237842656</v>
      </c>
      <c r="V119" s="4"/>
      <c r="W119" s="4"/>
      <c r="X119" s="3"/>
      <c r="Y119" s="3"/>
      <c r="AB119" s="3"/>
    </row>
    <row r="120" spans="1:28" x14ac:dyDescent="0.45">
      <c r="A120" t="s">
        <v>14</v>
      </c>
      <c r="B120" t="s">
        <v>14</v>
      </c>
      <c r="C120" s="1">
        <v>1.71</v>
      </c>
      <c r="D120">
        <v>150</v>
      </c>
      <c r="E120">
        <v>120</v>
      </c>
      <c r="F120" t="s">
        <v>14</v>
      </c>
      <c r="G120">
        <v>300</v>
      </c>
      <c r="H120" t="s">
        <v>15</v>
      </c>
      <c r="I120">
        <f t="shared" si="10"/>
        <v>70685.83470577035</v>
      </c>
      <c r="J120">
        <v>1</v>
      </c>
      <c r="K120">
        <v>26.1</v>
      </c>
      <c r="L120" t="s">
        <v>15</v>
      </c>
      <c r="M120">
        <v>461</v>
      </c>
      <c r="N120">
        <v>210</v>
      </c>
      <c r="O120">
        <v>0.33200000000000002</v>
      </c>
      <c r="Q120" s="5">
        <f t="shared" si="11"/>
        <v>1.2984050699249068</v>
      </c>
      <c r="R120" s="2">
        <f>(0.18/1.5*MIN((1+SQRT(200/E120)),2)*(MIN(J120,2)*(K120-8))^(1/3))</f>
        <v>0.630140558207131</v>
      </c>
      <c r="S120" s="2">
        <f>E120/1.15*IF(F120="k",(G120+4*E120)*PI(),IF(F120="q",4*G120+4*E120*PI(),2*G120+2*H120+4*E120*PI()))</f>
        <v>255698.32380522144</v>
      </c>
      <c r="T120" s="2">
        <f t="shared" si="12"/>
        <v>0.16112588449524998</v>
      </c>
      <c r="U120" s="4">
        <f t="shared" si="13"/>
        <v>2.0605007137123734</v>
      </c>
      <c r="V120" s="4"/>
      <c r="W120" s="4"/>
      <c r="X120" s="3"/>
      <c r="Y120" s="3"/>
      <c r="AB120" s="3"/>
    </row>
    <row r="121" spans="1:28" x14ac:dyDescent="0.45">
      <c r="A121" t="s">
        <v>14</v>
      </c>
      <c r="B121" t="s">
        <v>14</v>
      </c>
      <c r="C121" s="1">
        <v>1.71</v>
      </c>
      <c r="D121">
        <v>153</v>
      </c>
      <c r="E121">
        <v>122</v>
      </c>
      <c r="F121" t="s">
        <v>14</v>
      </c>
      <c r="G121">
        <v>300</v>
      </c>
      <c r="H121" t="s">
        <v>15</v>
      </c>
      <c r="I121">
        <f t="shared" si="10"/>
        <v>70685.83470577035</v>
      </c>
      <c r="J121">
        <v>0.98</v>
      </c>
      <c r="K121">
        <v>23.7</v>
      </c>
      <c r="L121" t="s">
        <v>15</v>
      </c>
      <c r="M121">
        <v>459</v>
      </c>
      <c r="N121">
        <v>210</v>
      </c>
      <c r="O121">
        <v>0.33200000000000002</v>
      </c>
      <c r="Q121" s="5">
        <f t="shared" si="11"/>
        <v>1.2641540582609145</v>
      </c>
      <c r="R121" s="2">
        <f>(0.18/1.5*MIN((1+SQRT(200/E121)),2)*(MIN(J121,2)*(K121-8))^(1/3))</f>
        <v>0.59692506824497626</v>
      </c>
      <c r="S121" s="2">
        <f>E121/1.15*IF(F121="k",(G121+4*E121)*PI(),IF(F121="q",4*G121+4*E121*PI(),2*G121+2*H121+4*E121*PI()))</f>
        <v>262626.2185613116</v>
      </c>
      <c r="T121" s="2">
        <f t="shared" si="12"/>
        <v>0.156768173437631</v>
      </c>
      <c r="U121" s="4">
        <f t="shared" si="13"/>
        <v>2.1177767956330986</v>
      </c>
      <c r="V121" s="4"/>
      <c r="W121" s="4"/>
      <c r="X121" s="3"/>
      <c r="Y121" s="3"/>
      <c r="AB121" s="3"/>
    </row>
    <row r="122" spans="1:28" x14ac:dyDescent="0.45">
      <c r="A122" t="s">
        <v>18</v>
      </c>
      <c r="B122" t="s">
        <v>17</v>
      </c>
      <c r="C122" s="1">
        <v>1.778</v>
      </c>
      <c r="D122">
        <v>152</v>
      </c>
      <c r="E122">
        <v>118</v>
      </c>
      <c r="F122" t="s">
        <v>17</v>
      </c>
      <c r="G122">
        <v>254</v>
      </c>
      <c r="H122" t="s">
        <v>15</v>
      </c>
      <c r="I122">
        <f t="shared" si="10"/>
        <v>64516</v>
      </c>
      <c r="J122">
        <v>1.1499999999999999</v>
      </c>
      <c r="K122">
        <v>14.1</v>
      </c>
      <c r="L122">
        <v>25</v>
      </c>
      <c r="M122">
        <v>332</v>
      </c>
      <c r="O122">
        <v>0.30299999999999999</v>
      </c>
      <c r="Q122" s="5">
        <f t="shared" si="11"/>
        <v>1.1817386754358232</v>
      </c>
      <c r="R122" s="2">
        <f>(0.18/1.5*MIN((1+SQRT(200/E122)),2)*(MIN(J122,2)*(K122-8))^(1/3))</f>
        <v>0.45943118096726099</v>
      </c>
      <c r="S122" s="2">
        <f>E122/1.15*IF(F122="k",(G122+4*E122)*PI(),IF(F122="q",4*G122+4*E122*PI(),2*G122+2*H122+4*E122*PI()))</f>
        <v>256401.86472551056</v>
      </c>
      <c r="T122" s="2">
        <f t="shared" si="12"/>
        <v>0.11779901151304922</v>
      </c>
      <c r="U122" s="4">
        <f t="shared" si="13"/>
        <v>2.5721777806805712</v>
      </c>
      <c r="V122" s="4"/>
      <c r="W122" s="4"/>
      <c r="X122" s="3"/>
      <c r="Y122" s="3"/>
      <c r="AB122" s="3"/>
    </row>
    <row r="123" spans="1:28" x14ac:dyDescent="0.45">
      <c r="A123" t="s">
        <v>18</v>
      </c>
      <c r="B123" t="s">
        <v>17</v>
      </c>
      <c r="C123" s="1">
        <v>1.778</v>
      </c>
      <c r="D123">
        <v>152</v>
      </c>
      <c r="E123">
        <v>118</v>
      </c>
      <c r="F123" t="s">
        <v>17</v>
      </c>
      <c r="G123">
        <v>254</v>
      </c>
      <c r="H123" t="s">
        <v>15</v>
      </c>
      <c r="I123">
        <f t="shared" si="10"/>
        <v>64516</v>
      </c>
      <c r="J123">
        <v>1.1499999999999999</v>
      </c>
      <c r="K123">
        <v>25.3</v>
      </c>
      <c r="L123">
        <v>25</v>
      </c>
      <c r="M123">
        <v>332</v>
      </c>
      <c r="O123">
        <v>0.36499999999999999</v>
      </c>
      <c r="Q123" s="5">
        <f t="shared" si="11"/>
        <v>1.4235465892213715</v>
      </c>
      <c r="R123" s="2">
        <f>(0.18/1.5*MIN((1+SQRT(200/E123)),2)*(MIN(J123,2)*(K123-8))^(1/3))</f>
        <v>0.65031817164738137</v>
      </c>
      <c r="S123" s="2">
        <f>E123/1.15*IF(F123="k",(G123+4*E123)*PI(),IF(F123="q",4*G123+4*E123*PI(),2*G123+2*H123+4*E123*PI()))</f>
        <v>256401.86472551056</v>
      </c>
      <c r="T123" s="2">
        <f t="shared" si="12"/>
        <v>0.16674279187527322</v>
      </c>
      <c r="U123" s="4">
        <f t="shared" si="13"/>
        <v>2.1890001714318599</v>
      </c>
      <c r="V123" s="4"/>
      <c r="W123" s="4"/>
      <c r="X123" s="3"/>
      <c r="Y123" s="3"/>
      <c r="AB123" s="3"/>
    </row>
    <row r="124" spans="1:28" x14ac:dyDescent="0.45">
      <c r="A124" t="s">
        <v>18</v>
      </c>
      <c r="B124" t="s">
        <v>17</v>
      </c>
      <c r="C124" s="1">
        <v>1.778</v>
      </c>
      <c r="D124">
        <v>152</v>
      </c>
      <c r="E124">
        <v>118</v>
      </c>
      <c r="F124" t="s">
        <v>17</v>
      </c>
      <c r="G124">
        <v>254</v>
      </c>
      <c r="H124" t="s">
        <v>15</v>
      </c>
      <c r="I124">
        <f t="shared" si="10"/>
        <v>64516</v>
      </c>
      <c r="J124">
        <v>1.1499999999999999</v>
      </c>
      <c r="K124">
        <v>29.1</v>
      </c>
      <c r="L124">
        <v>25</v>
      </c>
      <c r="M124">
        <v>332</v>
      </c>
      <c r="O124">
        <v>0.35599999999999998</v>
      </c>
      <c r="Q124" s="5">
        <f t="shared" si="11"/>
        <v>1.3884454404460498</v>
      </c>
      <c r="R124" s="2">
        <f>(0.18/1.5*MIN((1+SQRT(200/E124)),2)*(MIN(J124,2)*(K124-8))^(1/3))</f>
        <v>0.6948184471344655</v>
      </c>
      <c r="S124" s="2">
        <f>E124/1.15*IF(F124="k",(G124+4*E124)*PI(),IF(F124="q",4*G124+4*E124*PI(),2*G124+2*H124+4*E124*PI()))</f>
        <v>256401.86472551056</v>
      </c>
      <c r="T124" s="2">
        <f t="shared" si="12"/>
        <v>0.17815274549096055</v>
      </c>
      <c r="U124" s="4">
        <f t="shared" si="13"/>
        <v>1.9982852300082199</v>
      </c>
      <c r="V124" s="4"/>
      <c r="W124" s="4"/>
      <c r="X124" s="3"/>
      <c r="Y124" s="3"/>
      <c r="AB124" s="3"/>
    </row>
    <row r="125" spans="1:28" x14ac:dyDescent="0.45">
      <c r="A125" t="s">
        <v>18</v>
      </c>
      <c r="B125" t="s">
        <v>17</v>
      </c>
      <c r="C125" s="1">
        <v>1.778</v>
      </c>
      <c r="D125">
        <v>152</v>
      </c>
      <c r="E125">
        <v>118</v>
      </c>
      <c r="F125" t="s">
        <v>17</v>
      </c>
      <c r="G125">
        <v>254</v>
      </c>
      <c r="H125" t="s">
        <v>15</v>
      </c>
      <c r="I125">
        <f t="shared" si="10"/>
        <v>64516</v>
      </c>
      <c r="J125">
        <v>1.1499999999999999</v>
      </c>
      <c r="K125">
        <v>36.9</v>
      </c>
      <c r="L125">
        <v>25</v>
      </c>
      <c r="M125">
        <v>332</v>
      </c>
      <c r="O125">
        <v>0.35099999999999998</v>
      </c>
      <c r="Q125" s="5">
        <f t="shared" si="11"/>
        <v>1.3689448022375377</v>
      </c>
      <c r="R125" s="2">
        <f>(0.18/1.5*MIN((1+SQRT(200/E125)),2)*(MIN(J125,2)*(K125-8))^(1/3))</f>
        <v>0.77163124128250404</v>
      </c>
      <c r="S125" s="2">
        <f>E125/1.15*IF(F125="k",(G125+4*E125)*PI(),IF(F125="q",4*G125+4*E125*PI(),2*G125+2*H125+4*E125*PI()))</f>
        <v>256401.86472551056</v>
      </c>
      <c r="T125" s="2">
        <f t="shared" si="12"/>
        <v>0.19784768914529441</v>
      </c>
      <c r="U125" s="4">
        <f t="shared" si="13"/>
        <v>1.7740919872065544</v>
      </c>
      <c r="V125" s="4"/>
      <c r="W125" s="4"/>
      <c r="X125" s="3"/>
      <c r="Y125" s="3"/>
      <c r="AB125" s="3"/>
    </row>
    <row r="126" spans="1:28" x14ac:dyDescent="0.45">
      <c r="A126" t="s">
        <v>18</v>
      </c>
      <c r="B126" t="s">
        <v>17</v>
      </c>
      <c r="C126" s="1">
        <v>1.778</v>
      </c>
      <c r="D126">
        <v>152</v>
      </c>
      <c r="E126">
        <v>118</v>
      </c>
      <c r="F126" t="s">
        <v>17</v>
      </c>
      <c r="G126">
        <v>254</v>
      </c>
      <c r="H126" t="s">
        <v>15</v>
      </c>
      <c r="I126">
        <f t="shared" si="10"/>
        <v>64516</v>
      </c>
      <c r="J126">
        <v>1.1499999999999999</v>
      </c>
      <c r="K126">
        <v>20.3</v>
      </c>
      <c r="L126">
        <v>25</v>
      </c>
      <c r="M126">
        <v>332</v>
      </c>
      <c r="O126">
        <v>0.35599999999999998</v>
      </c>
      <c r="Q126" s="5">
        <f t="shared" si="11"/>
        <v>1.3884454404460498</v>
      </c>
      <c r="R126" s="2">
        <f>(0.18/1.5*MIN((1+SQRT(200/E126)),2)*(MIN(J126,2)*(K126-8))^(1/3))</f>
        <v>0.58042426350026954</v>
      </c>
      <c r="S126" s="2">
        <f>E126/1.15*IF(F126="k",(G126+4*E126)*PI(),IF(F126="q",4*G126+4*E126*PI(),2*G126+2*H126+4*E126*PI()))</f>
        <v>256401.86472551056</v>
      </c>
      <c r="T126" s="2">
        <f t="shared" si="12"/>
        <v>0.14882186349340021</v>
      </c>
      <c r="U126" s="4">
        <f t="shared" si="13"/>
        <v>2.3921216388732258</v>
      </c>
      <c r="V126" s="4"/>
      <c r="W126" s="4"/>
      <c r="X126" s="3"/>
      <c r="Y126" s="3"/>
      <c r="AB126" s="3"/>
    </row>
    <row r="127" spans="1:28" x14ac:dyDescent="0.45">
      <c r="A127" t="s">
        <v>18</v>
      </c>
      <c r="B127" t="s">
        <v>17</v>
      </c>
      <c r="C127" s="1">
        <v>1.778</v>
      </c>
      <c r="D127">
        <v>152</v>
      </c>
      <c r="E127">
        <v>114</v>
      </c>
      <c r="F127" t="s">
        <v>17</v>
      </c>
      <c r="G127">
        <v>254</v>
      </c>
      <c r="H127" t="s">
        <v>15</v>
      </c>
      <c r="I127">
        <f t="shared" si="10"/>
        <v>64516</v>
      </c>
      <c r="J127">
        <v>2.4700000000000002</v>
      </c>
      <c r="K127">
        <v>13.7</v>
      </c>
      <c r="L127">
        <v>25</v>
      </c>
      <c r="M127">
        <v>321</v>
      </c>
      <c r="O127">
        <v>0.33400000000000002</v>
      </c>
      <c r="Q127" s="5">
        <f t="shared" si="11"/>
        <v>1.3760290315049459</v>
      </c>
      <c r="R127" s="2">
        <f>(0.18/1.5*MIN((1+SQRT(200/E127)),2)*(MIN(J127,2)*(K127-8))^(1/3))</f>
        <v>0.54014810752251163</v>
      </c>
      <c r="S127" s="2">
        <f>E127/1.15*IF(F127="k",(G127+4*E127)*PI(),IF(F127="q",4*G127+4*E127*PI(),2*G127+2*H127+4*E127*PI()))</f>
        <v>242727.43696018416</v>
      </c>
      <c r="T127" s="2">
        <f t="shared" si="12"/>
        <v>0.13110876571783323</v>
      </c>
      <c r="U127" s="4">
        <f t="shared" si="13"/>
        <v>2.5475031983660101</v>
      </c>
      <c r="V127" s="4"/>
      <c r="W127" s="4"/>
      <c r="X127" s="3"/>
      <c r="Y127" s="3"/>
      <c r="AB127" s="3"/>
    </row>
    <row r="128" spans="1:28" x14ac:dyDescent="0.45">
      <c r="A128" t="s">
        <v>18</v>
      </c>
      <c r="B128" t="s">
        <v>17</v>
      </c>
      <c r="C128" s="1">
        <v>1.778</v>
      </c>
      <c r="D128">
        <v>152</v>
      </c>
      <c r="E128">
        <v>114</v>
      </c>
      <c r="F128" t="s">
        <v>17</v>
      </c>
      <c r="G128">
        <v>254</v>
      </c>
      <c r="H128" t="s">
        <v>15</v>
      </c>
      <c r="I128">
        <f t="shared" si="10"/>
        <v>64516</v>
      </c>
      <c r="J128">
        <v>2.4700000000000002</v>
      </c>
      <c r="K128">
        <v>19.5</v>
      </c>
      <c r="L128">
        <v>25</v>
      </c>
      <c r="M128">
        <v>321</v>
      </c>
      <c r="O128">
        <v>0.4</v>
      </c>
      <c r="Q128" s="5">
        <f t="shared" si="11"/>
        <v>1.6479389598861629</v>
      </c>
      <c r="R128" s="2">
        <f>(0.18/1.5*MIN((1+SQRT(200/E128)),2)*(MIN(J128,2)*(K128-8))^(1/3))</f>
        <v>0.68252807516437564</v>
      </c>
      <c r="S128" s="2">
        <f>E128/1.15*IF(F128="k",(G128+4*E128)*PI(),IF(F128="q",4*G128+4*E128*PI(),2*G128+2*H128+4*E128*PI()))</f>
        <v>242727.43696018416</v>
      </c>
      <c r="T128" s="2">
        <f t="shared" si="12"/>
        <v>0.1656682903380168</v>
      </c>
      <c r="U128" s="4">
        <f t="shared" si="13"/>
        <v>2.4144632577777609</v>
      </c>
      <c r="V128" s="4"/>
      <c r="W128" s="4"/>
      <c r="X128" s="3"/>
      <c r="Y128" s="3"/>
      <c r="AB128" s="3"/>
    </row>
    <row r="129" spans="1:28" x14ac:dyDescent="0.45">
      <c r="A129" t="s">
        <v>18</v>
      </c>
      <c r="B129" t="s">
        <v>17</v>
      </c>
      <c r="C129" s="1">
        <v>1.778</v>
      </c>
      <c r="D129">
        <v>152</v>
      </c>
      <c r="E129">
        <v>114</v>
      </c>
      <c r="F129" t="s">
        <v>17</v>
      </c>
      <c r="G129">
        <v>254</v>
      </c>
      <c r="H129" t="s">
        <v>15</v>
      </c>
      <c r="I129">
        <f t="shared" si="10"/>
        <v>64516</v>
      </c>
      <c r="J129">
        <v>2.4700000000000002</v>
      </c>
      <c r="K129">
        <v>37.5</v>
      </c>
      <c r="L129">
        <v>25</v>
      </c>
      <c r="M129">
        <v>321</v>
      </c>
      <c r="O129">
        <v>0.46700000000000003</v>
      </c>
      <c r="Q129" s="5">
        <f t="shared" si="11"/>
        <v>1.9239687356670951</v>
      </c>
      <c r="R129" s="2">
        <f>(0.18/1.5*MIN((1+SQRT(200/E129)),2)*(MIN(J129,2)*(K129-8))^(1/3))</f>
        <v>0.93431913980958248</v>
      </c>
      <c r="S129" s="2">
        <f>E129/1.15*IF(F129="k",(G129+4*E129)*PI(),IF(F129="q",4*G129+4*E129*PI(),2*G129+2*H129+4*E129*PI()))</f>
        <v>242727.43696018416</v>
      </c>
      <c r="T129" s="2">
        <f t="shared" si="12"/>
        <v>0.22678489010882391</v>
      </c>
      <c r="U129" s="4">
        <f t="shared" si="13"/>
        <v>2.059220081972426</v>
      </c>
      <c r="V129" s="4"/>
      <c r="W129" s="4"/>
      <c r="X129" s="3"/>
      <c r="Y129" s="3"/>
      <c r="AB129" s="3"/>
    </row>
    <row r="130" spans="1:28" x14ac:dyDescent="0.45">
      <c r="A130" t="s">
        <v>18</v>
      </c>
      <c r="B130" t="s">
        <v>17</v>
      </c>
      <c r="C130" s="1">
        <v>1.778</v>
      </c>
      <c r="D130">
        <v>152</v>
      </c>
      <c r="E130">
        <v>114</v>
      </c>
      <c r="F130" t="s">
        <v>17</v>
      </c>
      <c r="G130">
        <v>254</v>
      </c>
      <c r="H130" t="s">
        <v>15</v>
      </c>
      <c r="I130">
        <f t="shared" si="10"/>
        <v>64516</v>
      </c>
      <c r="J130">
        <v>2.4700000000000002</v>
      </c>
      <c r="K130">
        <v>27.9</v>
      </c>
      <c r="L130">
        <v>25</v>
      </c>
      <c r="M130">
        <v>321</v>
      </c>
      <c r="O130">
        <v>0.51200000000000001</v>
      </c>
      <c r="Q130" s="5">
        <f t="shared" si="11"/>
        <v>2.1093618686542883</v>
      </c>
      <c r="R130" s="2">
        <f>(0.18/1.5*MIN((1+SQRT(200/E130)),2)*(MIN(J130,2)*(K130-8))^(1/3))</f>
        <v>0.8194181873251114</v>
      </c>
      <c r="S130" s="2">
        <f>E130/1.15*IF(F130="k",(G130+4*E130)*PI(),IF(F130="q",4*G130+4*E130*PI(),2*G130+2*H130+4*E130*PI()))</f>
        <v>242727.43696018416</v>
      </c>
      <c r="T130" s="2">
        <f t="shared" si="12"/>
        <v>0.19889527640798435</v>
      </c>
      <c r="U130" s="4">
        <f t="shared" si="13"/>
        <v>2.5742190023143583</v>
      </c>
      <c r="V130" s="4"/>
      <c r="W130" s="4"/>
      <c r="X130" s="3"/>
      <c r="Y130" s="3"/>
      <c r="AB130" s="3"/>
    </row>
    <row r="131" spans="1:28" x14ac:dyDescent="0.45">
      <c r="A131" t="s">
        <v>18</v>
      </c>
      <c r="B131" t="s">
        <v>17</v>
      </c>
      <c r="C131" s="1">
        <v>1.778</v>
      </c>
      <c r="D131">
        <v>152</v>
      </c>
      <c r="E131">
        <v>114</v>
      </c>
      <c r="F131" t="s">
        <v>17</v>
      </c>
      <c r="G131">
        <v>254</v>
      </c>
      <c r="H131" t="s">
        <v>15</v>
      </c>
      <c r="I131">
        <f t="shared" ref="I131:I194" si="14">IF(F131="k",G131^2*PI()/4,IF(F131="q",G131^2,G131*H131))</f>
        <v>64516</v>
      </c>
      <c r="J131">
        <v>3.7</v>
      </c>
      <c r="K131">
        <v>12.8</v>
      </c>
      <c r="L131">
        <v>25</v>
      </c>
      <c r="M131">
        <v>321</v>
      </c>
      <c r="O131">
        <v>0.35599999999999998</v>
      </c>
      <c r="Q131" s="5">
        <f t="shared" si="11"/>
        <v>1.4666656742986846</v>
      </c>
      <c r="R131" s="2">
        <f>(0.18/1.5*MIN((1+SQRT(200/E131)),2)*(MIN(J131,2)*(K131-8))^(1/3))</f>
        <v>0.51007611320765334</v>
      </c>
      <c r="S131" s="2">
        <f>E131/1.15*IF(F131="k",(G131+4*E131)*PI(),IF(F131="q",4*G131+4*E131*PI(),2*G131+2*H131+4*E131*PI()))</f>
        <v>242727.43696018416</v>
      </c>
      <c r="T131" s="2">
        <f t="shared" si="12"/>
        <v>0.12380946761350643</v>
      </c>
      <c r="U131" s="4">
        <f t="shared" si="13"/>
        <v>2.8753859204961461</v>
      </c>
      <c r="V131" s="4"/>
      <c r="W131" s="4"/>
      <c r="X131" s="3"/>
      <c r="Y131" s="3"/>
      <c r="AB131" s="3"/>
    </row>
    <row r="132" spans="1:28" x14ac:dyDescent="0.45">
      <c r="A132" t="s">
        <v>18</v>
      </c>
      <c r="B132" t="s">
        <v>17</v>
      </c>
      <c r="C132" s="1">
        <v>1.778</v>
      </c>
      <c r="D132">
        <v>152</v>
      </c>
      <c r="E132">
        <v>114</v>
      </c>
      <c r="F132" t="s">
        <v>17</v>
      </c>
      <c r="G132">
        <v>254</v>
      </c>
      <c r="H132" t="s">
        <v>15</v>
      </c>
      <c r="I132">
        <f t="shared" si="14"/>
        <v>64516</v>
      </c>
      <c r="J132">
        <v>3.7</v>
      </c>
      <c r="K132">
        <v>22.6</v>
      </c>
      <c r="L132">
        <v>25</v>
      </c>
      <c r="M132">
        <v>321</v>
      </c>
      <c r="O132">
        <v>0.44500000000000001</v>
      </c>
      <c r="Q132" s="5">
        <f t="shared" si="11"/>
        <v>1.8333320928733561</v>
      </c>
      <c r="R132" s="2">
        <f>(0.18/1.5*MIN((1+SQRT(200/E132)),2)*(MIN(J132,2)*(K132-8))^(1/3))</f>
        <v>0.73904722766260122</v>
      </c>
      <c r="S132" s="2">
        <f>E132/1.15*IF(F132="k",(G132+4*E132)*PI(),IF(F132="q",4*G132+4*E132*PI(),2*G132+2*H132+4*E132*PI()))</f>
        <v>242727.43696018416</v>
      </c>
      <c r="T132" s="2">
        <f t="shared" si="12"/>
        <v>0.17938703936307293</v>
      </c>
      <c r="U132" s="4">
        <f t="shared" si="13"/>
        <v>2.480669738349023</v>
      </c>
      <c r="V132" s="4"/>
      <c r="W132" s="4"/>
      <c r="X132" s="3"/>
      <c r="Y132" s="3"/>
      <c r="AB132" s="3"/>
    </row>
    <row r="133" spans="1:28" x14ac:dyDescent="0.45">
      <c r="A133" t="s">
        <v>18</v>
      </c>
      <c r="B133" t="s">
        <v>17</v>
      </c>
      <c r="C133" s="1">
        <v>1.778</v>
      </c>
      <c r="D133">
        <v>152</v>
      </c>
      <c r="E133">
        <v>114</v>
      </c>
      <c r="F133" t="s">
        <v>17</v>
      </c>
      <c r="G133">
        <v>254</v>
      </c>
      <c r="H133" t="s">
        <v>15</v>
      </c>
      <c r="I133">
        <f t="shared" si="14"/>
        <v>64516</v>
      </c>
      <c r="J133">
        <v>3.7</v>
      </c>
      <c r="K133">
        <v>26.6</v>
      </c>
      <c r="L133">
        <v>25</v>
      </c>
      <c r="M133">
        <v>321</v>
      </c>
      <c r="O133">
        <v>0.53400000000000003</v>
      </c>
      <c r="Q133" s="5">
        <f t="shared" si="11"/>
        <v>2.1999985114480274</v>
      </c>
      <c r="R133" s="2">
        <f>(0.18/1.5*MIN((1+SQRT(200/E133)),2)*(MIN(J133,2)*(K133-8))^(1/3))</f>
        <v>0.80117161663876202</v>
      </c>
      <c r="S133" s="2">
        <f>E133/1.15*IF(F133="k",(G133+4*E133)*PI(),IF(F133="q",4*G133+4*E133*PI(),2*G133+2*H133+4*E133*PI()))</f>
        <v>242727.43696018416</v>
      </c>
      <c r="T133" s="2">
        <f t="shared" si="12"/>
        <v>0.19446633307197392</v>
      </c>
      <c r="U133" s="4">
        <f t="shared" si="13"/>
        <v>2.7459765994680496</v>
      </c>
      <c r="V133" s="4"/>
      <c r="W133" s="4"/>
      <c r="X133" s="3"/>
      <c r="Y133" s="3"/>
      <c r="AB133" s="3"/>
    </row>
    <row r="134" spans="1:28" x14ac:dyDescent="0.45">
      <c r="A134" t="s">
        <v>18</v>
      </c>
      <c r="B134" t="s">
        <v>17</v>
      </c>
      <c r="C134" s="1">
        <v>1.778</v>
      </c>
      <c r="D134">
        <v>152</v>
      </c>
      <c r="E134">
        <v>114</v>
      </c>
      <c r="F134" t="s">
        <v>17</v>
      </c>
      <c r="G134">
        <v>254</v>
      </c>
      <c r="H134" t="s">
        <v>15</v>
      </c>
      <c r="I134">
        <f t="shared" si="14"/>
        <v>64516</v>
      </c>
      <c r="J134">
        <v>3.7</v>
      </c>
      <c r="K134">
        <v>34.6</v>
      </c>
      <c r="L134">
        <v>25</v>
      </c>
      <c r="M134">
        <v>321</v>
      </c>
      <c r="O134">
        <v>0.54700000000000004</v>
      </c>
      <c r="Q134" s="5">
        <f t="shared" si="11"/>
        <v>2.2535565276443275</v>
      </c>
      <c r="R134" s="2">
        <f>(0.18/1.5*MIN((1+SQRT(200/E134)),2)*(MIN(J134,2)*(K134-8))^(1/3))</f>
        <v>0.90264113067254526</v>
      </c>
      <c r="S134" s="2">
        <f>E134/1.15*IF(F134="k",(G134+4*E134)*PI(),IF(F134="q",4*G134+4*E134*PI(),2*G134+2*H134+4*E134*PI()))</f>
        <v>242727.43696018416</v>
      </c>
      <c r="T134" s="2">
        <f t="shared" si="12"/>
        <v>0.21909576814298956</v>
      </c>
      <c r="U134" s="4">
        <f t="shared" si="13"/>
        <v>2.4966251271590454</v>
      </c>
      <c r="V134" s="4"/>
      <c r="W134" s="4"/>
      <c r="X134" s="3"/>
      <c r="Y134" s="3"/>
      <c r="AB134" s="3"/>
    </row>
    <row r="135" spans="1:28" x14ac:dyDescent="0.45">
      <c r="A135" t="s">
        <v>18</v>
      </c>
      <c r="B135" t="s">
        <v>17</v>
      </c>
      <c r="C135" s="1">
        <v>1.778</v>
      </c>
      <c r="D135">
        <v>152</v>
      </c>
      <c r="E135">
        <v>118</v>
      </c>
      <c r="F135" t="s">
        <v>17</v>
      </c>
      <c r="G135">
        <v>356</v>
      </c>
      <c r="H135" t="s">
        <v>15</v>
      </c>
      <c r="I135">
        <f t="shared" si="14"/>
        <v>126736</v>
      </c>
      <c r="J135">
        <v>1.1499999999999999</v>
      </c>
      <c r="K135">
        <v>26.1</v>
      </c>
      <c r="L135">
        <v>25</v>
      </c>
      <c r="M135">
        <v>332</v>
      </c>
      <c r="O135">
        <v>0.4</v>
      </c>
      <c r="Q135" s="5">
        <f t="shared" si="11"/>
        <v>1.3410838478086198</v>
      </c>
      <c r="R135" s="2">
        <f>(0.18/1.5*MIN((1+SQRT(200/E135)),2)*(MIN(J135,2)*(K135-8))^(1/3))</f>
        <v>0.66019167986336158</v>
      </c>
      <c r="S135" s="2">
        <f>E135/1.15*IF(F135="k",(G135+4*E135)*PI(),IF(F135="q",4*G135+4*E135*PI(),2*G135+2*H135+4*E135*PI()))</f>
        <v>298266.21255159751</v>
      </c>
      <c r="T135" s="2">
        <f t="shared" si="12"/>
        <v>0.19691287191092161</v>
      </c>
      <c r="U135" s="4">
        <f t="shared" si="13"/>
        <v>2.0313552695577459</v>
      </c>
      <c r="V135" s="4"/>
      <c r="W135" s="4"/>
      <c r="X135" s="3"/>
      <c r="Y135" s="3"/>
      <c r="AB135" s="3"/>
    </row>
    <row r="136" spans="1:28" x14ac:dyDescent="0.45">
      <c r="A136" t="s">
        <v>18</v>
      </c>
      <c r="B136" t="s">
        <v>17</v>
      </c>
      <c r="C136" s="1">
        <v>1.778</v>
      </c>
      <c r="D136">
        <v>152</v>
      </c>
      <c r="E136">
        <v>114</v>
      </c>
      <c r="F136" t="s">
        <v>17</v>
      </c>
      <c r="G136">
        <v>356</v>
      </c>
      <c r="H136" t="s">
        <v>15</v>
      </c>
      <c r="I136">
        <f t="shared" si="14"/>
        <v>126736</v>
      </c>
      <c r="J136">
        <v>2.4700000000000002</v>
      </c>
      <c r="K136">
        <v>27.8</v>
      </c>
      <c r="L136">
        <v>25</v>
      </c>
      <c r="M136">
        <v>321</v>
      </c>
      <c r="O136">
        <v>0.53400000000000003</v>
      </c>
      <c r="Q136" s="5">
        <f t="shared" si="11"/>
        <v>1.8857753098474392</v>
      </c>
      <c r="R136" s="2">
        <f>(0.18/1.5*MIN((1+SQRT(200/E136)),2)*(MIN(J136,2)*(K136-8))^(1/3))</f>
        <v>0.81804332201219265</v>
      </c>
      <c r="S136" s="2">
        <f>E136/1.15*IF(F136="k",(G136+4*E136)*PI(),IF(F136="q",4*G136+4*E136*PI(),2*G136+2*H136+4*E136*PI()))</f>
        <v>283172.65435148851</v>
      </c>
      <c r="T136" s="2">
        <f t="shared" si="12"/>
        <v>0.23164749886870203</v>
      </c>
      <c r="U136" s="4">
        <f t="shared" si="13"/>
        <v>2.3052267026749624</v>
      </c>
      <c r="V136" s="4"/>
      <c r="W136" s="4"/>
      <c r="X136" s="3"/>
      <c r="Y136" s="3"/>
      <c r="AB136" s="3"/>
    </row>
    <row r="137" spans="1:28" x14ac:dyDescent="0.45">
      <c r="A137" t="s">
        <v>18</v>
      </c>
      <c r="B137" t="s">
        <v>17</v>
      </c>
      <c r="C137" s="1">
        <v>1.778</v>
      </c>
      <c r="D137">
        <v>152</v>
      </c>
      <c r="E137">
        <v>114</v>
      </c>
      <c r="F137" t="s">
        <v>17</v>
      </c>
      <c r="G137">
        <v>356</v>
      </c>
      <c r="H137" t="s">
        <v>15</v>
      </c>
      <c r="I137">
        <f t="shared" si="14"/>
        <v>126736</v>
      </c>
      <c r="J137">
        <v>3.7</v>
      </c>
      <c r="K137">
        <v>25.1</v>
      </c>
      <c r="L137">
        <v>25</v>
      </c>
      <c r="M137">
        <v>321</v>
      </c>
      <c r="O137">
        <v>0.498</v>
      </c>
      <c r="Q137" s="5">
        <f t="shared" si="11"/>
        <v>1.7586443900824431</v>
      </c>
      <c r="R137" s="2">
        <f>(0.18/1.5*MIN((1+SQRT(200/E137)),2)*(MIN(J137,2)*(K137-8))^(1/3))</f>
        <v>0.77902837597670227</v>
      </c>
      <c r="S137" s="2">
        <f>E137/1.15*IF(F137="k",(G137+4*E137)*PI(),IF(F137="q",4*G137+4*E137*PI(),2*G137+2*H137+4*E137*PI()))</f>
        <v>283172.65435148851</v>
      </c>
      <c r="T137" s="2">
        <f t="shared" si="12"/>
        <v>0.22059953304045213</v>
      </c>
      <c r="U137" s="4">
        <f t="shared" si="13"/>
        <v>2.2574843796640311</v>
      </c>
      <c r="V137" s="4"/>
      <c r="W137" s="4"/>
      <c r="X137" s="3"/>
      <c r="Y137" s="3"/>
      <c r="AB137" s="3"/>
    </row>
    <row r="138" spans="1:28" x14ac:dyDescent="0.45">
      <c r="A138" t="s">
        <v>18</v>
      </c>
      <c r="B138" t="s">
        <v>17</v>
      </c>
      <c r="C138" s="1">
        <v>1.778</v>
      </c>
      <c r="D138">
        <v>152</v>
      </c>
      <c r="E138">
        <v>114</v>
      </c>
      <c r="F138" t="s">
        <v>17</v>
      </c>
      <c r="G138">
        <v>254</v>
      </c>
      <c r="H138" t="s">
        <v>15</v>
      </c>
      <c r="I138">
        <f t="shared" si="14"/>
        <v>64516</v>
      </c>
      <c r="J138">
        <v>0.5</v>
      </c>
      <c r="K138">
        <v>14.2</v>
      </c>
      <c r="L138">
        <v>38</v>
      </c>
      <c r="M138">
        <v>324</v>
      </c>
      <c r="O138">
        <v>0.17799999999999999</v>
      </c>
      <c r="Q138" s="5">
        <f t="shared" si="11"/>
        <v>0.73333283714934228</v>
      </c>
      <c r="R138" s="2">
        <f>(0.18/1.5*MIN((1+SQRT(200/E138)),2)*(MIN(J138,2)*(K138-8))^(1/3))</f>
        <v>0.34994393659841072</v>
      </c>
      <c r="S138" s="2">
        <f>E138/1.15*IF(F138="k",(G138+4*E138)*PI(),IF(F138="q",4*G138+4*E138*PI(),2*G138+2*H138+4*E138*PI()))</f>
        <v>242727.43696018416</v>
      </c>
      <c r="T138" s="2">
        <f t="shared" si="12"/>
        <v>8.4940994810289425E-2</v>
      </c>
      <c r="U138" s="4">
        <f t="shared" si="13"/>
        <v>2.0955723487528282</v>
      </c>
      <c r="V138" s="4"/>
      <c r="W138" s="4"/>
      <c r="X138" s="3"/>
      <c r="Y138" s="3"/>
      <c r="AB138" s="3"/>
    </row>
    <row r="139" spans="1:28" x14ac:dyDescent="0.45">
      <c r="A139" t="s">
        <v>18</v>
      </c>
      <c r="B139" t="s">
        <v>17</v>
      </c>
      <c r="C139" s="1">
        <v>1.778</v>
      </c>
      <c r="D139">
        <v>152</v>
      </c>
      <c r="E139">
        <v>114</v>
      </c>
      <c r="F139" t="s">
        <v>17</v>
      </c>
      <c r="G139">
        <v>254</v>
      </c>
      <c r="H139" t="s">
        <v>15</v>
      </c>
      <c r="I139">
        <f t="shared" si="14"/>
        <v>64516</v>
      </c>
      <c r="J139">
        <v>0.99</v>
      </c>
      <c r="K139">
        <v>47.8</v>
      </c>
      <c r="L139">
        <v>38</v>
      </c>
      <c r="M139">
        <v>303</v>
      </c>
      <c r="O139">
        <v>0.33400000000000002</v>
      </c>
      <c r="Q139" s="5">
        <f t="shared" si="11"/>
        <v>1.3760290315049459</v>
      </c>
      <c r="R139" s="2">
        <f>(0.18/1.5*MIN((1+SQRT(200/E139)),2)*(MIN(J139,2)*(K139-8))^(1/3))</f>
        <v>0.81667763779976421</v>
      </c>
      <c r="S139" s="2">
        <f>E139/1.15*IF(F139="k",(G139+4*E139)*PI(),IF(F139="q",4*G139+4*E139*PI(),2*G139+2*H139+4*E139*PI()))</f>
        <v>242727.43696018416</v>
      </c>
      <c r="T139" s="2">
        <f t="shared" si="12"/>
        <v>0.19823006984583436</v>
      </c>
      <c r="U139" s="4">
        <f t="shared" si="13"/>
        <v>1.6849108728042894</v>
      </c>
      <c r="V139" s="4"/>
      <c r="W139" s="4"/>
      <c r="X139" s="3"/>
      <c r="Y139" s="3"/>
      <c r="AB139" s="3"/>
    </row>
    <row r="140" spans="1:28" x14ac:dyDescent="0.45">
      <c r="A140" t="s">
        <v>18</v>
      </c>
      <c r="B140" t="s">
        <v>17</v>
      </c>
      <c r="C140" s="1">
        <v>1.778</v>
      </c>
      <c r="D140">
        <v>152</v>
      </c>
      <c r="E140">
        <v>114</v>
      </c>
      <c r="F140" t="s">
        <v>17</v>
      </c>
      <c r="G140">
        <v>254</v>
      </c>
      <c r="H140" t="s">
        <v>15</v>
      </c>
      <c r="I140">
        <f t="shared" si="14"/>
        <v>64516</v>
      </c>
      <c r="J140">
        <v>2</v>
      </c>
      <c r="K140">
        <v>43.9</v>
      </c>
      <c r="L140">
        <v>38</v>
      </c>
      <c r="M140">
        <v>341</v>
      </c>
      <c r="O140">
        <v>0.505</v>
      </c>
      <c r="Q140" s="5">
        <f t="shared" si="11"/>
        <v>2.0805229368562803</v>
      </c>
      <c r="R140" s="2">
        <f>(0.18/1.5*MIN((1+SQRT(200/E140)),2)*(MIN(J140,2)*(K140-8))^(1/3))</f>
        <v>0.99751489604076504</v>
      </c>
      <c r="S140" s="2">
        <f>E140/1.15*IF(F140="k",(G140+4*E140)*PI(),IF(F140="q",4*G140+4*E140*PI(),2*G140+2*H140+4*E140*PI()))</f>
        <v>242727.43696018416</v>
      </c>
      <c r="T140" s="2">
        <f t="shared" si="12"/>
        <v>0.24212423404557945</v>
      </c>
      <c r="U140" s="4">
        <f t="shared" si="13"/>
        <v>2.0857061334262585</v>
      </c>
      <c r="V140" s="4"/>
      <c r="W140" s="4"/>
      <c r="X140" s="3"/>
      <c r="Y140" s="3"/>
      <c r="AB140" s="3"/>
    </row>
    <row r="141" spans="1:28" x14ac:dyDescent="0.45">
      <c r="A141" t="s">
        <v>18</v>
      </c>
      <c r="B141" t="s">
        <v>17</v>
      </c>
      <c r="C141" s="1">
        <v>1.778</v>
      </c>
      <c r="D141">
        <v>152</v>
      </c>
      <c r="E141">
        <v>114</v>
      </c>
      <c r="F141" t="s">
        <v>17</v>
      </c>
      <c r="G141">
        <v>254</v>
      </c>
      <c r="H141" t="s">
        <v>15</v>
      </c>
      <c r="I141">
        <f t="shared" si="14"/>
        <v>64516</v>
      </c>
      <c r="J141">
        <v>3</v>
      </c>
      <c r="K141">
        <v>13.5</v>
      </c>
      <c r="L141">
        <v>38</v>
      </c>
      <c r="M141">
        <v>409</v>
      </c>
      <c r="O141">
        <v>0.32900000000000001</v>
      </c>
      <c r="Q141" s="5">
        <f t="shared" si="11"/>
        <v>1.3554297945063689</v>
      </c>
      <c r="R141" s="2">
        <f>(0.18/1.5*MIN((1+SQRT(200/E141)),2)*(MIN(J141,2)*(K141-8))^(1/3))</f>
        <v>0.5337552217366357</v>
      </c>
      <c r="S141" s="2">
        <f>E141/1.15*IF(F141="k",(G141+4*E141)*PI(),IF(F141="q",4*G141+4*E141*PI(),2*G141+2*H141+4*E141*PI()))</f>
        <v>242727.43696018416</v>
      </c>
      <c r="T141" s="2">
        <f t="shared" si="12"/>
        <v>0.12955703693624837</v>
      </c>
      <c r="U141" s="4">
        <f t="shared" si="13"/>
        <v>2.5394220783383021</v>
      </c>
      <c r="V141" s="4"/>
      <c r="W141" s="4"/>
      <c r="X141" s="3"/>
      <c r="Y141" s="3"/>
      <c r="AB141" s="3"/>
    </row>
    <row r="142" spans="1:28" x14ac:dyDescent="0.45">
      <c r="A142" t="s">
        <v>18</v>
      </c>
      <c r="B142" t="s">
        <v>17</v>
      </c>
      <c r="C142" s="1">
        <v>1.778</v>
      </c>
      <c r="D142">
        <v>152</v>
      </c>
      <c r="E142">
        <v>114</v>
      </c>
      <c r="F142" t="s">
        <v>17</v>
      </c>
      <c r="G142">
        <v>254</v>
      </c>
      <c r="H142" t="s">
        <v>15</v>
      </c>
      <c r="I142">
        <f t="shared" si="14"/>
        <v>64516</v>
      </c>
      <c r="J142">
        <v>3</v>
      </c>
      <c r="K142">
        <v>50.6</v>
      </c>
      <c r="L142">
        <v>38</v>
      </c>
      <c r="M142">
        <v>325</v>
      </c>
      <c r="O142">
        <v>0.57799999999999996</v>
      </c>
      <c r="Q142" s="5">
        <f t="shared" si="11"/>
        <v>2.3812717970355046</v>
      </c>
      <c r="R142" s="2">
        <f>(0.18/1.5*MIN((1+SQRT(200/E142)),2)*(MIN(J142,2)*(K142-8))^(1/3))</f>
        <v>1.0560661115634358</v>
      </c>
      <c r="S142" s="2">
        <f>E142/1.15*IF(F142="k",(G142+4*E142)*PI(),IF(F142="q",4*G142+4*E142*PI(),2*G142+2*H142+4*E142*PI()))</f>
        <v>242727.43696018416</v>
      </c>
      <c r="T142" s="2">
        <f t="shared" si="12"/>
        <v>0.25633622052030069</v>
      </c>
      <c r="U142" s="4">
        <f t="shared" si="13"/>
        <v>2.25485106563091</v>
      </c>
      <c r="V142" s="4"/>
      <c r="W142" s="4"/>
      <c r="X142" s="3"/>
      <c r="Y142" s="3"/>
      <c r="AB142" s="3"/>
    </row>
    <row r="143" spans="1:28" x14ac:dyDescent="0.45">
      <c r="A143" t="s">
        <v>18</v>
      </c>
      <c r="B143" t="s">
        <v>17</v>
      </c>
      <c r="C143" s="1">
        <v>1.778</v>
      </c>
      <c r="D143">
        <v>152</v>
      </c>
      <c r="E143">
        <v>114</v>
      </c>
      <c r="F143" t="s">
        <v>17</v>
      </c>
      <c r="G143">
        <v>254</v>
      </c>
      <c r="H143" t="s">
        <v>15</v>
      </c>
      <c r="I143">
        <f t="shared" si="14"/>
        <v>64516</v>
      </c>
      <c r="J143">
        <v>2.4700000000000002</v>
      </c>
      <c r="K143">
        <v>28.5</v>
      </c>
      <c r="L143">
        <v>25</v>
      </c>
      <c r="M143">
        <v>321</v>
      </c>
      <c r="O143">
        <v>0.4</v>
      </c>
      <c r="Q143" s="5">
        <f t="shared" si="11"/>
        <v>1.6479389598861629</v>
      </c>
      <c r="R143" s="2">
        <f>(0.18/1.5*MIN((1+SQRT(200/E143)),2)*(MIN(J143,2)*(K143-8))^(1/3))</f>
        <v>0.82757213769185523</v>
      </c>
      <c r="S143" s="2">
        <f>E143/1.15*IF(F143="k",(G143+4*E143)*PI(),IF(F143="q",4*G143+4*E143*PI(),2*G143+2*H143+4*E143*PI()))</f>
        <v>242727.43696018416</v>
      </c>
      <c r="T143" s="2">
        <f t="shared" si="12"/>
        <v>0.20087446388160463</v>
      </c>
      <c r="U143" s="4">
        <f t="shared" si="13"/>
        <v>1.9912934290929083</v>
      </c>
      <c r="V143" s="4"/>
      <c r="W143" s="4"/>
      <c r="X143" s="3"/>
      <c r="Y143" s="3"/>
      <c r="AB143" s="3"/>
    </row>
    <row r="144" spans="1:28" x14ac:dyDescent="0.45">
      <c r="A144" t="s">
        <v>18</v>
      </c>
      <c r="B144" t="s">
        <v>17</v>
      </c>
      <c r="C144" s="1">
        <v>1.778</v>
      </c>
      <c r="D144">
        <v>152</v>
      </c>
      <c r="E144">
        <v>114</v>
      </c>
      <c r="F144" t="s">
        <v>17</v>
      </c>
      <c r="G144">
        <v>356</v>
      </c>
      <c r="H144" t="s">
        <v>15</v>
      </c>
      <c r="I144">
        <f t="shared" si="14"/>
        <v>126736</v>
      </c>
      <c r="J144">
        <v>2.4700000000000002</v>
      </c>
      <c r="K144">
        <v>21.9</v>
      </c>
      <c r="L144">
        <v>25</v>
      </c>
      <c r="M144">
        <v>321</v>
      </c>
      <c r="O144">
        <v>0.436</v>
      </c>
      <c r="Q144" s="5">
        <f t="shared" si="11"/>
        <v>1.5396966949316169</v>
      </c>
      <c r="R144" s="2">
        <f>(0.18/1.5*MIN((1+SQRT(200/E144)),2)*(MIN(J144,2)*(K144-8))^(1/3))</f>
        <v>0.7270420116653985</v>
      </c>
      <c r="S144" s="2">
        <f>E144/1.15*IF(F144="k",(G144+4*E144)*PI(),IF(F144="q",4*G144+4*E144*PI(),2*G144+2*H144+4*E144*PI()))</f>
        <v>283172.65435148851</v>
      </c>
      <c r="T144" s="2">
        <f t="shared" si="12"/>
        <v>0.20587841626833675</v>
      </c>
      <c r="U144" s="4">
        <f t="shared" si="13"/>
        <v>2.1177547792660723</v>
      </c>
      <c r="V144" s="4"/>
      <c r="W144" s="4"/>
      <c r="X144" s="3"/>
      <c r="Y144" s="3"/>
      <c r="AB144" s="3"/>
    </row>
    <row r="145" spans="1:28" x14ac:dyDescent="0.45">
      <c r="A145" t="s">
        <v>18</v>
      </c>
      <c r="B145" t="s">
        <v>17</v>
      </c>
      <c r="C145" s="1">
        <v>1.778</v>
      </c>
      <c r="D145">
        <v>152</v>
      </c>
      <c r="E145">
        <v>114</v>
      </c>
      <c r="F145" t="s">
        <v>17</v>
      </c>
      <c r="G145">
        <v>254</v>
      </c>
      <c r="H145" t="s">
        <v>15</v>
      </c>
      <c r="I145">
        <f t="shared" si="14"/>
        <v>64516</v>
      </c>
      <c r="J145">
        <v>2.4700000000000002</v>
      </c>
      <c r="K145">
        <v>27.9</v>
      </c>
      <c r="L145">
        <v>25</v>
      </c>
      <c r="M145">
        <v>321</v>
      </c>
      <c r="O145">
        <v>0.28000000000000003</v>
      </c>
      <c r="Q145" s="5">
        <f t="shared" si="11"/>
        <v>1.153557271920314</v>
      </c>
      <c r="R145" s="2">
        <f>(0.18/1.5*MIN((1+SQRT(200/E145)),2)*(MIN(J145,2)*(K145-8))^(1/3))</f>
        <v>0.8194181873251114</v>
      </c>
      <c r="S145" s="2">
        <f>E145/1.15*IF(F145="k",(G145+4*E145)*PI(),IF(F145="q",4*G145+4*E145*PI(),2*G145+2*H145+4*E145*PI()))</f>
        <v>242727.43696018416</v>
      </c>
      <c r="T145" s="2">
        <f t="shared" si="12"/>
        <v>0.19889527640798435</v>
      </c>
      <c r="U145" s="4">
        <f t="shared" si="13"/>
        <v>1.4077760168906648</v>
      </c>
      <c r="V145" s="4"/>
      <c r="W145" s="4"/>
      <c r="X145" s="3"/>
      <c r="Y145" s="3"/>
      <c r="AB145" s="3"/>
    </row>
    <row r="146" spans="1:28" x14ac:dyDescent="0.45">
      <c r="A146" t="s">
        <v>19</v>
      </c>
      <c r="B146" t="s">
        <v>14</v>
      </c>
      <c r="C146" s="1">
        <v>0.88900000000000001</v>
      </c>
      <c r="D146">
        <v>127</v>
      </c>
      <c r="E146">
        <v>89</v>
      </c>
      <c r="F146" t="s">
        <v>14</v>
      </c>
      <c r="G146">
        <v>152</v>
      </c>
      <c r="H146" t="s">
        <v>15</v>
      </c>
      <c r="I146">
        <f t="shared" si="14"/>
        <v>18145.839167134644</v>
      </c>
      <c r="J146">
        <v>3.2</v>
      </c>
      <c r="K146">
        <v>28.3</v>
      </c>
      <c r="L146" t="s">
        <v>15</v>
      </c>
      <c r="M146">
        <v>286</v>
      </c>
      <c r="N146">
        <v>179</v>
      </c>
      <c r="O146">
        <v>0.32200000000000001</v>
      </c>
      <c r="Q146" s="5">
        <f t="shared" si="11"/>
        <v>2.6070545619273133</v>
      </c>
      <c r="R146" s="2">
        <f>(0.18/1.5*MIN((1+SQRT(200/E146)),2)*(MIN(J146,2)*(K146-8))^(1/3))</f>
        <v>0.82487204627169008</v>
      </c>
      <c r="S146" s="2">
        <f>E146/1.15*IF(F146="k",(G146+4*E146)*PI(),IF(F146="q",4*G146+4*E146*PI(),2*G146+2*H146+4*E146*PI()))</f>
        <v>123511.03222095803</v>
      </c>
      <c r="T146" s="2">
        <f t="shared" si="12"/>
        <v>0.1018807978852303</v>
      </c>
      <c r="U146" s="4">
        <f t="shared" si="13"/>
        <v>3.160556323505987</v>
      </c>
      <c r="V146" s="4"/>
      <c r="W146" s="4"/>
      <c r="X146" s="3"/>
      <c r="Y146" s="3"/>
      <c r="AB146" s="3"/>
    </row>
    <row r="147" spans="1:28" x14ac:dyDescent="0.45">
      <c r="A147" t="s">
        <v>19</v>
      </c>
      <c r="B147" t="s">
        <v>14</v>
      </c>
      <c r="C147" s="1">
        <v>0.88900000000000001</v>
      </c>
      <c r="D147">
        <v>127</v>
      </c>
      <c r="E147">
        <v>89</v>
      </c>
      <c r="F147" t="s">
        <v>14</v>
      </c>
      <c r="G147">
        <v>152</v>
      </c>
      <c r="H147" t="s">
        <v>15</v>
      </c>
      <c r="I147">
        <f t="shared" si="14"/>
        <v>18145.839167134644</v>
      </c>
      <c r="J147">
        <v>3.2</v>
      </c>
      <c r="K147">
        <v>27.3</v>
      </c>
      <c r="L147" t="s">
        <v>15</v>
      </c>
      <c r="M147">
        <v>286</v>
      </c>
      <c r="N147">
        <v>172</v>
      </c>
      <c r="O147">
        <v>0.371</v>
      </c>
      <c r="Q147" s="5">
        <f t="shared" si="11"/>
        <v>3.0037802561336435</v>
      </c>
      <c r="R147" s="2">
        <f>(0.18/1.5*MIN((1+SQRT(200/E147)),2)*(MIN(J147,2)*(K147-8))^(1/3))</f>
        <v>0.81109864634765039</v>
      </c>
      <c r="S147" s="2">
        <f>E147/1.15*IF(F147="k",(G147+4*E147)*PI(),IF(F147="q",4*G147+4*E147*PI(),2*G147+2*H147+4*E147*PI()))</f>
        <v>123511.03222095803</v>
      </c>
      <c r="T147" s="2">
        <f t="shared" si="12"/>
        <v>0.10017963104342009</v>
      </c>
      <c r="U147" s="4">
        <f t="shared" si="13"/>
        <v>3.7033476379963939</v>
      </c>
      <c r="V147" s="4"/>
      <c r="W147" s="4"/>
      <c r="X147" s="3"/>
      <c r="Y147" s="3"/>
      <c r="AB147" s="3"/>
    </row>
    <row r="148" spans="1:28" x14ac:dyDescent="0.45">
      <c r="A148" t="s">
        <v>18</v>
      </c>
      <c r="B148" t="s">
        <v>14</v>
      </c>
      <c r="C148" s="1">
        <v>2.165</v>
      </c>
      <c r="D148">
        <v>180</v>
      </c>
      <c r="E148">
        <v>150</v>
      </c>
      <c r="F148" t="s">
        <v>17</v>
      </c>
      <c r="G148">
        <v>250</v>
      </c>
      <c r="H148" t="s">
        <v>15</v>
      </c>
      <c r="I148">
        <f t="shared" si="14"/>
        <v>62500</v>
      </c>
      <c r="J148">
        <v>0.94</v>
      </c>
      <c r="K148">
        <v>23.1</v>
      </c>
      <c r="L148" t="s">
        <v>15</v>
      </c>
      <c r="M148">
        <v>681</v>
      </c>
      <c r="O148">
        <v>0.435</v>
      </c>
      <c r="Q148" s="5">
        <f t="shared" si="11"/>
        <v>1.1559969966505188</v>
      </c>
      <c r="R148" s="2">
        <f>(0.18/1.5*MIN((1+SQRT(200/E148)),2)*(MIN(J148,2)*(K148-8))^(1/3))</f>
        <v>0.58109371115396802</v>
      </c>
      <c r="S148" s="2">
        <f>E148/1.15*IF(F148="k",(G148+4*E148)*PI(),IF(F148="q",4*G148+4*E148*PI(),2*G148+2*H148+4*E148*PI()))</f>
        <v>376298.55549833167</v>
      </c>
      <c r="T148" s="2">
        <f t="shared" si="12"/>
        <v>0.21866472411640295</v>
      </c>
      <c r="U148" s="4">
        <f t="shared" si="13"/>
        <v>1.9893469408830395</v>
      </c>
      <c r="V148" s="4"/>
      <c r="W148" s="4"/>
      <c r="X148" s="3"/>
      <c r="Y148" s="3"/>
      <c r="AB148" s="3"/>
    </row>
    <row r="149" spans="1:28" x14ac:dyDescent="0.45">
      <c r="A149" t="s">
        <v>18</v>
      </c>
      <c r="B149" t="s">
        <v>14</v>
      </c>
      <c r="C149" s="1">
        <v>1.5</v>
      </c>
      <c r="D149">
        <v>200</v>
      </c>
      <c r="E149">
        <v>167</v>
      </c>
      <c r="F149" t="s">
        <v>17</v>
      </c>
      <c r="G149">
        <v>300</v>
      </c>
      <c r="H149" t="s">
        <v>15</v>
      </c>
      <c r="I149">
        <f t="shared" si="14"/>
        <v>90000</v>
      </c>
      <c r="J149">
        <v>1.23</v>
      </c>
      <c r="K149">
        <v>17</v>
      </c>
      <c r="L149" t="s">
        <v>15</v>
      </c>
      <c r="M149">
        <v>811</v>
      </c>
      <c r="O149">
        <v>0.441</v>
      </c>
      <c r="Q149" s="5">
        <f t="shared" si="11"/>
        <v>0.92064547884321613</v>
      </c>
      <c r="R149" s="2">
        <f>(0.18/1.5*MIN((1+SQRT(200/E149)),2)*(MIN(J149,2)*(K149-8))^(1/3))</f>
        <v>0.53488503658415276</v>
      </c>
      <c r="S149" s="2">
        <f>E149/1.15*IF(F149="k",(G149+4*E149)*PI(),IF(F149="q",4*G149+4*E149*PI(),2*G149+2*H149+4*E149*PI()))</f>
        <v>479011.74788162002</v>
      </c>
      <c r="T149" s="2">
        <f t="shared" si="12"/>
        <v>0.25621621628989927</v>
      </c>
      <c r="U149" s="4">
        <f t="shared" si="13"/>
        <v>1.7212025311505836</v>
      </c>
      <c r="V149" s="4"/>
      <c r="W149" s="4"/>
      <c r="X149" s="3"/>
      <c r="Y149" s="3"/>
      <c r="AB149" s="3"/>
    </row>
    <row r="150" spans="1:28" x14ac:dyDescent="0.45">
      <c r="A150" t="s">
        <v>18</v>
      </c>
      <c r="B150" t="s">
        <v>14</v>
      </c>
      <c r="C150" s="1">
        <v>1.5</v>
      </c>
      <c r="D150">
        <v>200</v>
      </c>
      <c r="E150">
        <v>164</v>
      </c>
      <c r="F150" t="s">
        <v>17</v>
      </c>
      <c r="G150">
        <v>300</v>
      </c>
      <c r="H150" t="s">
        <v>15</v>
      </c>
      <c r="I150">
        <f t="shared" si="14"/>
        <v>90000</v>
      </c>
      <c r="J150">
        <v>1.53</v>
      </c>
      <c r="K150">
        <v>20.5</v>
      </c>
      <c r="L150" t="s">
        <v>15</v>
      </c>
      <c r="M150">
        <v>568</v>
      </c>
      <c r="O150">
        <v>0.65800000000000003</v>
      </c>
      <c r="Q150" s="5">
        <f t="shared" si="11"/>
        <v>1.4149608773284355</v>
      </c>
      <c r="R150" s="2">
        <f>(0.18/1.5*MIN((1+SQRT(200/E150)),2)*(MIN(J150,2)*(K150-8))^(1/3))</f>
        <v>0.64181774894872357</v>
      </c>
      <c r="S150" s="2">
        <f>E150/1.15*IF(F150="k",(G150+4*E150)*PI(),IF(F150="q",4*G150+4*E150*PI(),2*G150+2*H150+4*E150*PI()))</f>
        <v>465030.52525548206</v>
      </c>
      <c r="T150" s="2">
        <f t="shared" si="12"/>
        <v>0.29846484491191605</v>
      </c>
      <c r="U150" s="4">
        <f t="shared" si="13"/>
        <v>2.2046147518452006</v>
      </c>
      <c r="V150" s="4"/>
      <c r="W150" s="4"/>
      <c r="X150" s="3"/>
      <c r="Y150" s="3"/>
      <c r="AB150" s="3"/>
    </row>
    <row r="151" spans="1:28" x14ac:dyDescent="0.45">
      <c r="A151" t="s">
        <v>18</v>
      </c>
      <c r="B151" t="s">
        <v>14</v>
      </c>
      <c r="C151" s="1">
        <v>2.4</v>
      </c>
      <c r="D151">
        <v>228</v>
      </c>
      <c r="E151">
        <v>183</v>
      </c>
      <c r="F151" t="s">
        <v>17</v>
      </c>
      <c r="G151">
        <v>300</v>
      </c>
      <c r="H151" t="s">
        <v>15</v>
      </c>
      <c r="I151">
        <f t="shared" si="14"/>
        <v>90000</v>
      </c>
      <c r="J151">
        <v>0.86</v>
      </c>
      <c r="K151">
        <v>30.6</v>
      </c>
      <c r="L151" t="s">
        <v>15</v>
      </c>
      <c r="M151">
        <v>520</v>
      </c>
      <c r="O151">
        <v>0.85099999999999998</v>
      </c>
      <c r="Q151" s="5">
        <f t="shared" si="11"/>
        <v>1.5281015505564666</v>
      </c>
      <c r="R151" s="2">
        <f>(0.18/1.5*MIN((1+SQRT(200/E151)),2)*(MIN(J151,2)*(K151-8))^(1/3))</f>
        <v>0.64527801968054499</v>
      </c>
      <c r="S151" s="2">
        <f>E151/1.15*IF(F151="k",(G151+4*E151)*PI(),IF(F151="q",4*G151+4*E151*PI(),2*G151+2*H151+4*E151*PI()))</f>
        <v>556900.16130806471</v>
      </c>
      <c r="T151" s="2">
        <f t="shared" si="12"/>
        <v>0.35935543324864405</v>
      </c>
      <c r="U151" s="4">
        <f t="shared" si="13"/>
        <v>2.3681289365984868</v>
      </c>
      <c r="V151" s="4"/>
      <c r="W151" s="4"/>
      <c r="X151" s="3"/>
      <c r="Y151" s="3"/>
      <c r="AB151" s="3"/>
    </row>
    <row r="152" spans="1:28" x14ac:dyDescent="0.45">
      <c r="A152" t="s">
        <v>18</v>
      </c>
      <c r="B152" t="s">
        <v>17</v>
      </c>
      <c r="C152" s="1">
        <v>1.83</v>
      </c>
      <c r="D152">
        <v>150</v>
      </c>
      <c r="E152">
        <v>120</v>
      </c>
      <c r="F152" t="s">
        <v>17</v>
      </c>
      <c r="G152">
        <v>250</v>
      </c>
      <c r="H152" t="s">
        <v>15</v>
      </c>
      <c r="I152">
        <f t="shared" si="14"/>
        <v>62500</v>
      </c>
      <c r="J152">
        <v>1.01</v>
      </c>
      <c r="K152">
        <v>67</v>
      </c>
      <c r="L152">
        <v>20</v>
      </c>
      <c r="M152">
        <v>490</v>
      </c>
      <c r="O152">
        <v>0.51100000000000001</v>
      </c>
      <c r="Q152" s="5">
        <f t="shared" si="11"/>
        <v>1.952612720252596</v>
      </c>
      <c r="R152" s="2">
        <f>(0.18/1.5*MIN((1+SQRT(200/E152)),2)*(MIN(J152,2)*(K152-8))^(1/3))</f>
        <v>0.93742321291083075</v>
      </c>
      <c r="S152" s="2">
        <f>E152/1.15*IF(F152="k",(G152+4*E152)*PI(),IF(F152="q",4*G152+4*E152*PI(),2*G152+2*H152+4*E152*PI()))</f>
        <v>261700.64073632355</v>
      </c>
      <c r="T152" s="2">
        <f t="shared" si="12"/>
        <v>0.24532425545986744</v>
      </c>
      <c r="U152" s="4">
        <f t="shared" si="13"/>
        <v>2.0829575087963303</v>
      </c>
      <c r="V152" s="4"/>
      <c r="W152" s="4"/>
      <c r="X152" s="3"/>
      <c r="Y152" s="3"/>
      <c r="AB152" s="3"/>
    </row>
    <row r="153" spans="1:28" x14ac:dyDescent="0.45">
      <c r="A153" t="s">
        <v>19</v>
      </c>
      <c r="B153" t="s">
        <v>14</v>
      </c>
      <c r="C153" s="1">
        <v>2.4</v>
      </c>
      <c r="D153">
        <v>230</v>
      </c>
      <c r="E153">
        <v>190</v>
      </c>
      <c r="F153" t="s">
        <v>17</v>
      </c>
      <c r="G153">
        <v>400</v>
      </c>
      <c r="H153" t="s">
        <v>15</v>
      </c>
      <c r="I153">
        <f t="shared" si="14"/>
        <v>160000</v>
      </c>
      <c r="J153">
        <v>0.81</v>
      </c>
      <c r="K153">
        <v>21.9</v>
      </c>
      <c r="L153">
        <v>16</v>
      </c>
      <c r="M153">
        <v>572</v>
      </c>
      <c r="N153">
        <v>219</v>
      </c>
      <c r="O153">
        <v>0.61499999999999999</v>
      </c>
      <c r="Q153" s="5">
        <f t="shared" si="11"/>
        <v>0.93348347306875645</v>
      </c>
      <c r="R153" s="2">
        <f>(0.18/1.5*MIN((1+SQRT(200/E153)),2)*(MIN(J153,2)*(K153-8))^(1/3))</f>
        <v>0.53791193631441614</v>
      </c>
      <c r="S153" s="2">
        <f>E153/1.15*IF(F153="k",(G153+4*E153)*PI(),IF(F153="q",4*G153+4*E153*PI(),2*G153+2*H153+4*E153*PI()))</f>
        <v>658822.59058988362</v>
      </c>
      <c r="T153" s="2">
        <f t="shared" si="12"/>
        <v>0.35438853539188414</v>
      </c>
      <c r="U153" s="4">
        <f t="shared" si="13"/>
        <v>1.7353834522889708</v>
      </c>
      <c r="V153" s="4"/>
      <c r="W153" s="4"/>
      <c r="X153" s="3"/>
      <c r="Y153" s="3"/>
      <c r="AB153" s="3"/>
    </row>
    <row r="154" spans="1:28" x14ac:dyDescent="0.45">
      <c r="A154" t="s">
        <v>18</v>
      </c>
      <c r="B154" t="s">
        <v>14</v>
      </c>
      <c r="C154" s="1">
        <v>1.581</v>
      </c>
      <c r="D154">
        <v>200</v>
      </c>
      <c r="E154">
        <v>160</v>
      </c>
      <c r="F154" t="s">
        <v>17</v>
      </c>
      <c r="G154">
        <v>290</v>
      </c>
      <c r="H154" t="s">
        <v>15</v>
      </c>
      <c r="I154">
        <f t="shared" si="14"/>
        <v>84100</v>
      </c>
      <c r="J154">
        <v>1.96</v>
      </c>
      <c r="K154">
        <v>73.2</v>
      </c>
      <c r="L154" t="s">
        <v>15</v>
      </c>
      <c r="M154">
        <v>500</v>
      </c>
      <c r="O154">
        <v>1.1000000000000001</v>
      </c>
      <c r="Q154" s="5">
        <f t="shared" si="11"/>
        <v>2.4935980186096232</v>
      </c>
      <c r="R154" s="2">
        <f>(0.18/1.5*MIN((1+SQRT(200/E154)),2)*(MIN(J154,2)*(K154-8))^(1/3))</f>
        <v>1.2088686937546473</v>
      </c>
      <c r="S154" s="2">
        <f>E154/1.15*IF(F154="k",(G154+4*E154)*PI(),IF(F154="q",4*G154+4*E154*PI(),2*G154+2*H154+4*E154*PI()))</f>
        <v>441129.64150225645</v>
      </c>
      <c r="T154" s="2">
        <f t="shared" si="12"/>
        <v>0.53326781349928865</v>
      </c>
      <c r="U154" s="4">
        <f t="shared" si="13"/>
        <v>2.0627534086143893</v>
      </c>
      <c r="V154" s="4"/>
      <c r="W154" s="4"/>
      <c r="X154" s="3"/>
      <c r="Y154" s="3"/>
      <c r="AB154" s="3"/>
    </row>
    <row r="155" spans="1:28" x14ac:dyDescent="0.45">
      <c r="A155" t="s">
        <v>19</v>
      </c>
      <c r="B155" t="s">
        <v>14</v>
      </c>
      <c r="C155" s="1">
        <v>2.3719999999999999</v>
      </c>
      <c r="D155">
        <v>275</v>
      </c>
      <c r="E155">
        <v>230</v>
      </c>
      <c r="F155" t="s">
        <v>17</v>
      </c>
      <c r="G155">
        <v>400</v>
      </c>
      <c r="H155" t="s">
        <v>15</v>
      </c>
      <c r="I155">
        <f t="shared" si="14"/>
        <v>160000</v>
      </c>
      <c r="J155">
        <v>1.37</v>
      </c>
      <c r="K155">
        <v>69.2</v>
      </c>
      <c r="L155" t="s">
        <v>15</v>
      </c>
      <c r="M155">
        <v>500</v>
      </c>
      <c r="O155">
        <v>1.64</v>
      </c>
      <c r="Q155" s="5">
        <f t="shared" si="11"/>
        <v>1.8261727446686886</v>
      </c>
      <c r="R155" s="2">
        <f>(0.18/1.5*MIN((1+SQRT(200/E155)),2)*(MIN(J155,2)*(K155-8))^(1/3))</f>
        <v>1.0149839130493266</v>
      </c>
      <c r="S155" s="2">
        <f>E155/1.15*IF(F155="k",(G155+4*E155)*PI(),IF(F155="q",4*G155+4*E155*PI(),2*G155+2*H155+4*E155*PI()))</f>
        <v>898053.04826052207</v>
      </c>
      <c r="T155" s="2">
        <f t="shared" si="12"/>
        <v>0.91150939704934042</v>
      </c>
      <c r="U155" s="4">
        <f t="shared" si="13"/>
        <v>1.7992134862337859</v>
      </c>
      <c r="V155" s="4"/>
      <c r="W155" s="4"/>
      <c r="X155" s="3"/>
      <c r="Y155" s="3"/>
      <c r="AB155" s="3"/>
    </row>
    <row r="156" spans="1:28" x14ac:dyDescent="0.45">
      <c r="A156" t="s">
        <v>18</v>
      </c>
      <c r="B156" t="s">
        <v>17</v>
      </c>
      <c r="C156" s="1">
        <v>1.5720000000000001</v>
      </c>
      <c r="D156">
        <v>130</v>
      </c>
      <c r="E156">
        <v>93</v>
      </c>
      <c r="F156" t="s">
        <v>17</v>
      </c>
      <c r="G156">
        <v>120</v>
      </c>
      <c r="H156" t="s">
        <v>15</v>
      </c>
      <c r="I156">
        <f t="shared" si="14"/>
        <v>14400</v>
      </c>
      <c r="J156">
        <v>1.5</v>
      </c>
      <c r="K156">
        <v>59</v>
      </c>
      <c r="L156" t="s">
        <v>15</v>
      </c>
      <c r="M156">
        <v>695</v>
      </c>
      <c r="N156">
        <v>210</v>
      </c>
      <c r="O156">
        <v>0.27</v>
      </c>
      <c r="Q156" s="5">
        <f t="shared" si="11"/>
        <v>2.0250897276282052</v>
      </c>
      <c r="R156" s="2">
        <f>(0.18/1.5*MIN((1+SQRT(200/E156)),2)*(MIN(J156,2)*(K156-8))^(1/3))</f>
        <v>1.0188221698530655</v>
      </c>
      <c r="S156" s="2">
        <f>E156/1.15*IF(F156="k",(G156+4*E156)*PI(),IF(F156="q",4*G156+4*E156*PI(),2*G156+2*H156+4*E156*PI()))</f>
        <v>133327.42560312391</v>
      </c>
      <c r="T156" s="2">
        <f t="shared" si="12"/>
        <v>0.13583693705389785</v>
      </c>
      <c r="U156" s="4">
        <f t="shared" si="13"/>
        <v>1.9876773273595567</v>
      </c>
      <c r="V156" s="4"/>
      <c r="W156" s="4"/>
      <c r="X156" s="3"/>
      <c r="Y156" s="3"/>
      <c r="AB156" s="3"/>
    </row>
    <row r="157" spans="1:28" x14ac:dyDescent="0.45">
      <c r="A157" t="s">
        <v>18</v>
      </c>
      <c r="B157" t="s">
        <v>17</v>
      </c>
      <c r="C157" s="1">
        <v>1.5720000000000001</v>
      </c>
      <c r="D157">
        <v>130</v>
      </c>
      <c r="E157">
        <v>97</v>
      </c>
      <c r="F157" t="s">
        <v>17</v>
      </c>
      <c r="G157">
        <v>120</v>
      </c>
      <c r="H157" t="s">
        <v>15</v>
      </c>
      <c r="I157">
        <f t="shared" si="14"/>
        <v>14400</v>
      </c>
      <c r="J157">
        <v>1.4</v>
      </c>
      <c r="K157">
        <v>60.9</v>
      </c>
      <c r="L157" t="s">
        <v>15</v>
      </c>
      <c r="M157">
        <v>695</v>
      </c>
      <c r="O157">
        <v>0.33500000000000002</v>
      </c>
      <c r="Q157" s="5">
        <f t="shared" si="11"/>
        <v>2.3377248624576965</v>
      </c>
      <c r="R157" s="2">
        <f>(0.18/1.5*MIN((1+SQRT(200/E157)),2)*(MIN(J157,2)*(K157-8))^(1/3))</f>
        <v>1.0078729998726634</v>
      </c>
      <c r="S157" s="2">
        <f>E157/1.15*IF(F157="k",(G157+4*E157)*PI(),IF(F157="q",4*G157+4*E157*PI(),2*G157+2*H157+4*E157*PI()))</f>
        <v>143301.72270478736</v>
      </c>
      <c r="T157" s="2">
        <f t="shared" si="12"/>
        <v>0.14442993714939459</v>
      </c>
      <c r="U157" s="4">
        <f t="shared" si="13"/>
        <v>2.3194637248473264</v>
      </c>
      <c r="V157" s="4"/>
      <c r="W157" s="4"/>
      <c r="X157" s="3"/>
      <c r="Y157" s="3"/>
      <c r="AB157" s="3"/>
    </row>
    <row r="158" spans="1:28" x14ac:dyDescent="0.45">
      <c r="A158" t="s">
        <v>18</v>
      </c>
      <c r="B158" t="s">
        <v>17</v>
      </c>
      <c r="C158" s="1">
        <v>2.032</v>
      </c>
      <c r="D158">
        <v>165</v>
      </c>
      <c r="E158">
        <v>121</v>
      </c>
      <c r="F158" t="s">
        <v>17</v>
      </c>
      <c r="G158">
        <v>254</v>
      </c>
      <c r="H158" t="s">
        <v>15</v>
      </c>
      <c r="I158">
        <f t="shared" si="14"/>
        <v>64516</v>
      </c>
      <c r="J158">
        <v>0.79</v>
      </c>
      <c r="K158">
        <v>31.4</v>
      </c>
      <c r="L158" t="s">
        <v>15</v>
      </c>
      <c r="M158">
        <v>331</v>
      </c>
      <c r="O158">
        <v>0.28999999999999998</v>
      </c>
      <c r="Q158" s="5">
        <f t="shared" si="11"/>
        <v>1.0866015500108597</v>
      </c>
      <c r="R158" s="2">
        <f>(0.18/1.5*MIN((1+SQRT(200/E158)),2)*(MIN(J158,2)*(K158-8))^(1/3))</f>
        <v>0.63458853952813254</v>
      </c>
      <c r="S158" s="2">
        <f>E158/1.15*IF(F158="k",(G158+4*E158)*PI(),IF(F158="q",4*G158+4*E158*PI(),2*G158+2*H158+4*E158*PI()))</f>
        <v>266887.15840420226</v>
      </c>
      <c r="T158" s="2">
        <f t="shared" si="12"/>
        <v>0.16936353207053609</v>
      </c>
      <c r="U158" s="4">
        <f t="shared" si="13"/>
        <v>1.7122930565667556</v>
      </c>
      <c r="V158" s="4"/>
      <c r="W158" s="4"/>
      <c r="X158" s="3"/>
      <c r="Y158" s="3"/>
      <c r="AB158" s="3"/>
    </row>
    <row r="159" spans="1:28" x14ac:dyDescent="0.45">
      <c r="A159" t="s">
        <v>18</v>
      </c>
      <c r="B159" t="s">
        <v>17</v>
      </c>
      <c r="C159" s="1">
        <v>2.032</v>
      </c>
      <c r="D159">
        <v>165</v>
      </c>
      <c r="E159">
        <v>122</v>
      </c>
      <c r="F159" t="s">
        <v>17</v>
      </c>
      <c r="G159">
        <v>254</v>
      </c>
      <c r="H159" t="s">
        <v>15</v>
      </c>
      <c r="I159">
        <f t="shared" si="14"/>
        <v>64516</v>
      </c>
      <c r="J159">
        <v>0.78</v>
      </c>
      <c r="K159">
        <v>28.1</v>
      </c>
      <c r="L159" t="s">
        <v>15</v>
      </c>
      <c r="M159">
        <v>331</v>
      </c>
      <c r="O159">
        <v>0.27300000000000002</v>
      </c>
      <c r="Q159" s="5">
        <f t="shared" si="11"/>
        <v>1.0095184446648668</v>
      </c>
      <c r="R159" s="2">
        <f>(0.18/1.5*MIN((1+SQRT(200/E159)),2)*(MIN(J159,2)*(K159-8))^(1/3))</f>
        <v>0.6006776343979251</v>
      </c>
      <c r="S159" s="2">
        <f>E159/1.15*IF(F159="k",(G159+4*E159)*PI(),IF(F159="q",4*G159+4*E159*PI(),2*G159+2*H159+4*E159*PI()))</f>
        <v>270425.96541228</v>
      </c>
      <c r="T159" s="2">
        <f t="shared" si="12"/>
        <v>0.16243882918362346</v>
      </c>
      <c r="U159" s="4">
        <f t="shared" si="13"/>
        <v>1.680632650284597</v>
      </c>
      <c r="V159" s="4"/>
      <c r="W159" s="4"/>
      <c r="X159" s="3"/>
      <c r="Y159" s="3"/>
      <c r="AB159" s="3"/>
    </row>
    <row r="160" spans="1:28" x14ac:dyDescent="0.45">
      <c r="A160" t="s">
        <v>18</v>
      </c>
      <c r="B160" t="s">
        <v>17</v>
      </c>
      <c r="C160" s="1">
        <v>2.032</v>
      </c>
      <c r="D160">
        <v>165</v>
      </c>
      <c r="E160">
        <v>124</v>
      </c>
      <c r="F160" t="s">
        <v>17</v>
      </c>
      <c r="G160">
        <v>254</v>
      </c>
      <c r="H160" t="s">
        <v>15</v>
      </c>
      <c r="I160">
        <f t="shared" si="14"/>
        <v>64516</v>
      </c>
      <c r="J160">
        <v>1.54</v>
      </c>
      <c r="K160">
        <v>28.7</v>
      </c>
      <c r="L160" t="s">
        <v>15</v>
      </c>
      <c r="M160">
        <v>331</v>
      </c>
      <c r="O160">
        <v>0.46400000000000002</v>
      </c>
      <c r="Q160" s="5">
        <f t="shared" si="11"/>
        <v>1.6716555551379093</v>
      </c>
      <c r="R160" s="2">
        <f>(0.18/1.5*MIN((1+SQRT(200/E160)),2)*(MIN(J160,2)*(K160-8))^(1/3))</f>
        <v>0.76098295712345976</v>
      </c>
      <c r="S160" s="2">
        <f>E160/1.15*IF(F160="k",(G160+4*E160)*PI(),IF(F160="q",4*G160+4*E160*PI(),2*G160+2*H160+4*E160*PI()))</f>
        <v>277569.14310120582</v>
      </c>
      <c r="T160" s="2">
        <f t="shared" si="12"/>
        <v>0.21122538732338036</v>
      </c>
      <c r="U160" s="4">
        <f t="shared" si="13"/>
        <v>2.1967056416832533</v>
      </c>
      <c r="V160" s="4"/>
      <c r="W160" s="4"/>
      <c r="X160" s="3"/>
      <c r="Y160" s="3"/>
      <c r="AB160" s="3"/>
    </row>
    <row r="161" spans="1:28" x14ac:dyDescent="0.45">
      <c r="A161" t="s">
        <v>18</v>
      </c>
      <c r="B161" t="s">
        <v>17</v>
      </c>
      <c r="C161" s="1">
        <v>2.032</v>
      </c>
      <c r="D161">
        <v>165</v>
      </c>
      <c r="E161">
        <v>122</v>
      </c>
      <c r="F161" t="s">
        <v>17</v>
      </c>
      <c r="G161">
        <v>254</v>
      </c>
      <c r="H161" t="s">
        <v>15</v>
      </c>
      <c r="I161">
        <f t="shared" si="14"/>
        <v>64516</v>
      </c>
      <c r="J161">
        <v>1.56</v>
      </c>
      <c r="K161">
        <v>29.1</v>
      </c>
      <c r="L161" t="s">
        <v>15</v>
      </c>
      <c r="M161">
        <v>331</v>
      </c>
      <c r="O161">
        <v>0.44</v>
      </c>
      <c r="Q161" s="5">
        <f t="shared" si="11"/>
        <v>1.6270626946979538</v>
      </c>
      <c r="R161" s="2">
        <f>(0.18/1.5*MIN((1+SQRT(200/E161)),2)*(MIN(J161,2)*(K161-8))^(1/3))</f>
        <v>0.76915451358136133</v>
      </c>
      <c r="S161" s="2">
        <f>E161/1.15*IF(F161="k",(G161+4*E161)*PI(),IF(F161="q",4*G161+4*E161*PI(),2*G161+2*H161+4*E161*PI()))</f>
        <v>270425.96541228</v>
      </c>
      <c r="T161" s="2">
        <f t="shared" si="12"/>
        <v>0.20799935188645227</v>
      </c>
      <c r="U161" s="4">
        <f t="shared" si="13"/>
        <v>2.1153912067966338</v>
      </c>
      <c r="V161" s="4"/>
      <c r="W161" s="4"/>
      <c r="X161" s="3"/>
      <c r="Y161" s="3"/>
      <c r="AB161" s="3"/>
    </row>
    <row r="162" spans="1:28" x14ac:dyDescent="0.45">
      <c r="A162" t="s">
        <v>18</v>
      </c>
      <c r="B162" t="s">
        <v>17</v>
      </c>
      <c r="C162" s="1">
        <v>0.85</v>
      </c>
      <c r="D162">
        <v>100</v>
      </c>
      <c r="E162">
        <v>75</v>
      </c>
      <c r="F162" t="s">
        <v>17</v>
      </c>
      <c r="G162">
        <v>150</v>
      </c>
      <c r="H162" t="s">
        <v>15</v>
      </c>
      <c r="I162">
        <f t="shared" si="14"/>
        <v>22500</v>
      </c>
      <c r="J162">
        <v>1.5</v>
      </c>
      <c r="K162">
        <v>22.7</v>
      </c>
      <c r="L162">
        <v>20</v>
      </c>
      <c r="M162">
        <v>480</v>
      </c>
      <c r="O162">
        <v>0.19700000000000001</v>
      </c>
      <c r="Q162" s="5">
        <f t="shared" si="11"/>
        <v>1.9583210042629347</v>
      </c>
      <c r="R162" s="2">
        <f>(0.18/1.5*MIN((1+SQRT(200/E162)),2)*(MIN(J162,2)*(K162-8))^(1/3))</f>
        <v>0.67299851558452572</v>
      </c>
      <c r="S162" s="2">
        <f>E162/1.15*IF(F162="k",(G162+4*E162)*PI(),IF(F162="q",4*G162+4*E162*PI(),2*G162+2*H162+4*E162*PI()))</f>
        <v>100596.37800501769</v>
      </c>
      <c r="T162" s="2">
        <f t="shared" si="12"/>
        <v>6.7701213070556737E-2</v>
      </c>
      <c r="U162" s="4">
        <f t="shared" si="13"/>
        <v>2.9098444631219662</v>
      </c>
      <c r="V162" s="4"/>
      <c r="W162" s="4"/>
      <c r="X162" s="3"/>
      <c r="Y162" s="3"/>
      <c r="AB162" s="3"/>
    </row>
    <row r="163" spans="1:28" x14ac:dyDescent="0.45">
      <c r="A163" t="s">
        <v>18</v>
      </c>
      <c r="B163" t="s">
        <v>17</v>
      </c>
      <c r="C163" s="1">
        <v>0.6</v>
      </c>
      <c r="D163">
        <v>100</v>
      </c>
      <c r="E163">
        <v>75</v>
      </c>
      <c r="F163" t="s">
        <v>17</v>
      </c>
      <c r="G163">
        <v>150</v>
      </c>
      <c r="H163" t="s">
        <v>15</v>
      </c>
      <c r="I163">
        <f t="shared" si="14"/>
        <v>22500</v>
      </c>
      <c r="J163">
        <v>1.5</v>
      </c>
      <c r="K163">
        <v>24.9</v>
      </c>
      <c r="L163">
        <v>20</v>
      </c>
      <c r="M163">
        <v>480</v>
      </c>
      <c r="O163">
        <v>0.22700000000000001</v>
      </c>
      <c r="Q163" s="5">
        <f t="shared" si="11"/>
        <v>2.2565424769933307</v>
      </c>
      <c r="R163" s="2">
        <f>(0.18/1.5*MIN((1+SQRT(200/E163)),2)*(MIN(J163,2)*(K163-8))^(1/3))</f>
        <v>0.70502399194042165</v>
      </c>
      <c r="S163" s="2">
        <f>E163/1.15*IF(F163="k",(G163+4*E163)*PI(),IF(F163="q",4*G163+4*E163*PI(),2*G163+2*H163+4*E163*PI()))</f>
        <v>100596.37800501769</v>
      </c>
      <c r="T163" s="2">
        <f t="shared" si="12"/>
        <v>7.0922859995845203E-2</v>
      </c>
      <c r="U163" s="4">
        <f t="shared" si="13"/>
        <v>3.2006605488455784</v>
      </c>
      <c r="V163" s="4"/>
      <c r="W163" s="4"/>
      <c r="X163" s="3"/>
      <c r="Y163" s="3"/>
      <c r="AB163" s="3"/>
    </row>
    <row r="164" spans="1:28" x14ac:dyDescent="0.45">
      <c r="A164" t="s">
        <v>18</v>
      </c>
      <c r="B164" t="s">
        <v>17</v>
      </c>
      <c r="C164" s="1">
        <v>0.35</v>
      </c>
      <c r="D164">
        <v>100</v>
      </c>
      <c r="E164">
        <v>75</v>
      </c>
      <c r="F164" t="s">
        <v>17</v>
      </c>
      <c r="G164">
        <v>150</v>
      </c>
      <c r="H164" t="s">
        <v>15</v>
      </c>
      <c r="I164">
        <f t="shared" si="14"/>
        <v>22500</v>
      </c>
      <c r="J164">
        <v>1.5</v>
      </c>
      <c r="K164">
        <v>28.4</v>
      </c>
      <c r="L164">
        <v>20</v>
      </c>
      <c r="M164">
        <v>480</v>
      </c>
      <c r="O164">
        <v>0.23499999999999999</v>
      </c>
      <c r="Q164" s="5">
        <f t="shared" si="11"/>
        <v>2.3360682030547695</v>
      </c>
      <c r="R164" s="2">
        <f>(0.18/1.5*MIN((1+SQRT(200/E164)),2)*(MIN(J164,2)*(K164-8))^(1/3))</f>
        <v>0.75067459305036788</v>
      </c>
      <c r="S164" s="2">
        <f>E164/1.15*IF(F164="k",(G164+4*E164)*PI(),IF(F164="q",4*G164+4*E164*PI(),2*G164+2*H164+4*E164*PI()))</f>
        <v>100596.37800501769</v>
      </c>
      <c r="T164" s="2">
        <f t="shared" si="12"/>
        <v>7.5515145121257635E-2</v>
      </c>
      <c r="U164" s="4">
        <f t="shared" si="13"/>
        <v>3.1119585299432484</v>
      </c>
      <c r="V164" s="4"/>
      <c r="W164" s="4"/>
      <c r="X164" s="3"/>
      <c r="Y164" s="3"/>
      <c r="AB164" s="3"/>
    </row>
    <row r="165" spans="1:28" x14ac:dyDescent="0.45">
      <c r="A165" t="s">
        <v>18</v>
      </c>
      <c r="B165" t="s">
        <v>17</v>
      </c>
      <c r="C165" s="1">
        <v>0.35</v>
      </c>
      <c r="D165">
        <v>100</v>
      </c>
      <c r="E165">
        <v>75</v>
      </c>
      <c r="F165" t="s">
        <v>17</v>
      </c>
      <c r="G165">
        <v>100</v>
      </c>
      <c r="H165" t="s">
        <v>15</v>
      </c>
      <c r="I165">
        <f t="shared" si="14"/>
        <v>10000</v>
      </c>
      <c r="J165">
        <v>1.5</v>
      </c>
      <c r="K165">
        <v>27.8</v>
      </c>
      <c r="L165">
        <v>20</v>
      </c>
      <c r="M165">
        <v>480</v>
      </c>
      <c r="O165">
        <v>0.185</v>
      </c>
      <c r="Q165" s="5">
        <f t="shared" si="11"/>
        <v>2.1130082560442558</v>
      </c>
      <c r="R165" s="2">
        <f>(0.18/1.5*MIN((1+SQRT(200/E165)),2)*(MIN(J165,2)*(K165-8))^(1/3))</f>
        <v>0.7432416831285843</v>
      </c>
      <c r="S165" s="2">
        <f>E165/1.15*IF(F165="k",(G165+4*E165)*PI(),IF(F165="q",4*G165+4*E165*PI(),2*G165+2*H165+4*E165*PI()))</f>
        <v>87552.899744148133</v>
      </c>
      <c r="T165" s="2">
        <f t="shared" si="12"/>
        <v>6.5072964568628863E-2</v>
      </c>
      <c r="U165" s="4">
        <f t="shared" si="13"/>
        <v>2.8429625302362043</v>
      </c>
      <c r="V165" s="4"/>
      <c r="W165" s="4"/>
      <c r="X165" s="3"/>
      <c r="Y165" s="3"/>
      <c r="AB165" s="3"/>
    </row>
    <row r="166" spans="1:28" x14ac:dyDescent="0.45">
      <c r="A166" t="s">
        <v>18</v>
      </c>
      <c r="B166" t="s">
        <v>17</v>
      </c>
      <c r="C166" s="1">
        <v>0.35</v>
      </c>
      <c r="D166">
        <v>100</v>
      </c>
      <c r="E166">
        <v>75</v>
      </c>
      <c r="F166" t="s">
        <v>17</v>
      </c>
      <c r="G166">
        <v>100</v>
      </c>
      <c r="H166" t="s">
        <v>15</v>
      </c>
      <c r="I166">
        <f t="shared" si="14"/>
        <v>10000</v>
      </c>
      <c r="J166">
        <v>0.75</v>
      </c>
      <c r="K166">
        <v>35.200000000000003</v>
      </c>
      <c r="L166">
        <v>20</v>
      </c>
      <c r="M166">
        <v>480</v>
      </c>
      <c r="O166">
        <v>0.17199999999999999</v>
      </c>
      <c r="Q166" s="5">
        <f t="shared" ref="Q166:Q229" si="15">O166/S166*10^6</f>
        <v>1.9645265948087134</v>
      </c>
      <c r="R166" s="2">
        <f>(0.18/1.5*MIN((1+SQRT(200/E166)),2)*(MIN(J166,2)*(K166-8))^(1/3))</f>
        <v>0.65577465986267225</v>
      </c>
      <c r="S166" s="2">
        <f>E166/1.15*IF(F166="k",(G166+4*E166)*PI(),IF(F166="q",4*G166+4*E166*PI(),2*G166+2*H166+4*E166*PI()))</f>
        <v>87552.899744148133</v>
      </c>
      <c r="T166" s="2">
        <f t="shared" ref="T166:T229" si="16">R166*S166/10^6</f>
        <v>5.7414973049709384E-2</v>
      </c>
      <c r="U166" s="4">
        <f t="shared" ref="U166:U229" si="17">O166/T166</f>
        <v>2.995734228614614</v>
      </c>
      <c r="V166" s="4"/>
      <c r="W166" s="4"/>
      <c r="X166" s="3"/>
      <c r="Y166" s="3"/>
      <c r="AB166" s="3"/>
    </row>
    <row r="167" spans="1:28" x14ac:dyDescent="0.45">
      <c r="A167" t="s">
        <v>18</v>
      </c>
      <c r="B167" t="s">
        <v>17</v>
      </c>
      <c r="C167" s="1">
        <v>0.35</v>
      </c>
      <c r="D167">
        <v>100</v>
      </c>
      <c r="E167">
        <v>75</v>
      </c>
      <c r="F167" t="s">
        <v>17</v>
      </c>
      <c r="G167">
        <v>100</v>
      </c>
      <c r="H167" t="s">
        <v>15</v>
      </c>
      <c r="I167">
        <f t="shared" si="14"/>
        <v>10000</v>
      </c>
      <c r="J167">
        <v>1.5</v>
      </c>
      <c r="K167">
        <v>38</v>
      </c>
      <c r="L167">
        <v>20</v>
      </c>
      <c r="M167">
        <v>480</v>
      </c>
      <c r="O167">
        <v>0.182</v>
      </c>
      <c r="Q167" s="5">
        <f t="shared" si="15"/>
        <v>2.0787432572975919</v>
      </c>
      <c r="R167" s="2">
        <f>(0.18/1.5*MIN((1+SQRT(200/E167)),2)*(MIN(J167,2)*(K167-8))^(1/3))</f>
        <v>0.85365439307761504</v>
      </c>
      <c r="S167" s="2">
        <f>E167/1.15*IF(F167="k",(G167+4*E167)*PI(),IF(F167="q",4*G167+4*E167*PI(),2*G167+2*H167+4*E167*PI()))</f>
        <v>87552.899744148133</v>
      </c>
      <c r="T167" s="2">
        <f t="shared" si="16"/>
        <v>7.4739917493276048E-2</v>
      </c>
      <c r="U167" s="4">
        <f t="shared" si="17"/>
        <v>2.4351110638618723</v>
      </c>
      <c r="V167" s="4"/>
      <c r="W167" s="4"/>
      <c r="X167" s="3"/>
      <c r="Y167" s="3"/>
      <c r="AB167" s="3"/>
    </row>
    <row r="168" spans="1:28" x14ac:dyDescent="0.45">
      <c r="A168" t="s">
        <v>18</v>
      </c>
      <c r="B168" t="s">
        <v>17</v>
      </c>
      <c r="C168" s="1">
        <v>0.35</v>
      </c>
      <c r="D168">
        <v>100</v>
      </c>
      <c r="E168">
        <v>75</v>
      </c>
      <c r="F168" t="s">
        <v>17</v>
      </c>
      <c r="G168">
        <v>100</v>
      </c>
      <c r="H168" t="s">
        <v>15</v>
      </c>
      <c r="I168">
        <f t="shared" si="14"/>
        <v>10000</v>
      </c>
      <c r="J168">
        <v>1.5</v>
      </c>
      <c r="K168">
        <v>12.2</v>
      </c>
      <c r="L168">
        <v>20</v>
      </c>
      <c r="M168">
        <v>480</v>
      </c>
      <c r="O168">
        <v>0.109</v>
      </c>
      <c r="Q168" s="5">
        <f t="shared" si="15"/>
        <v>1.2449616211287775</v>
      </c>
      <c r="R168" s="2">
        <f>(0.18/1.5*MIN((1+SQRT(200/E168)),2)*(MIN(J168,2)*(K168-8))^(1/3))</f>
        <v>0.44325954010747998</v>
      </c>
      <c r="S168" s="2">
        <f>E168/1.15*IF(F168="k",(G168+4*E168)*PI(),IF(F168="q",4*G168+4*E168*PI(),2*G168+2*H168+4*E168*PI()))</f>
        <v>87552.899744148133</v>
      </c>
      <c r="T168" s="2">
        <f t="shared" si="16"/>
        <v>3.8808658075667399E-2</v>
      </c>
      <c r="U168" s="4">
        <f t="shared" si="17"/>
        <v>2.8086516103565509</v>
      </c>
      <c r="V168" s="4"/>
      <c r="W168" s="4"/>
      <c r="X168" s="3"/>
      <c r="Y168" s="3"/>
      <c r="AB168" s="3"/>
    </row>
    <row r="169" spans="1:28" x14ac:dyDescent="0.45">
      <c r="A169" t="s">
        <v>18</v>
      </c>
      <c r="B169" t="s">
        <v>17</v>
      </c>
      <c r="C169" s="1">
        <v>0.4</v>
      </c>
      <c r="D169">
        <v>100</v>
      </c>
      <c r="E169">
        <v>75</v>
      </c>
      <c r="F169" t="s">
        <v>17</v>
      </c>
      <c r="G169">
        <v>200</v>
      </c>
      <c r="H169" t="s">
        <v>15</v>
      </c>
      <c r="I169">
        <f t="shared" si="14"/>
        <v>40000</v>
      </c>
      <c r="J169">
        <v>1.5</v>
      </c>
      <c r="K169">
        <v>37.700000000000003</v>
      </c>
      <c r="L169">
        <v>20</v>
      </c>
      <c r="M169">
        <v>480</v>
      </c>
      <c r="O169">
        <v>0.36799999999999999</v>
      </c>
      <c r="Q169" s="5">
        <f t="shared" si="15"/>
        <v>3.2383004703823031</v>
      </c>
      <c r="R169" s="2">
        <f>(0.18/1.5*MIN((1+SQRT(200/E169)),2)*(MIN(J169,2)*(K169-8))^(1/3))</f>
        <v>0.85079934033660098</v>
      </c>
      <c r="S169" s="2">
        <f>E169/1.15*IF(F169="k",(G169+4*E169)*PI(),IF(F169="q",4*G169+4*E169*PI(),2*G169+2*H169+4*E169*PI()))</f>
        <v>113639.85626588725</v>
      </c>
      <c r="T169" s="2">
        <f t="shared" si="16"/>
        <v>9.6684714746963024E-2</v>
      </c>
      <c r="U169" s="4">
        <f t="shared" si="17"/>
        <v>3.8061859205263806</v>
      </c>
      <c r="V169" s="4"/>
      <c r="W169" s="4"/>
      <c r="X169" s="3"/>
      <c r="Y169" s="3"/>
      <c r="AB169" s="3"/>
    </row>
    <row r="170" spans="1:28" x14ac:dyDescent="0.45">
      <c r="A170" t="s">
        <v>16</v>
      </c>
      <c r="B170" t="s">
        <v>17</v>
      </c>
      <c r="C170" s="1">
        <v>2</v>
      </c>
      <c r="D170">
        <v>178</v>
      </c>
      <c r="E170">
        <v>143</v>
      </c>
      <c r="F170" t="s">
        <v>17</v>
      </c>
      <c r="G170">
        <v>305</v>
      </c>
      <c r="H170" t="s">
        <v>15</v>
      </c>
      <c r="I170">
        <f t="shared" si="14"/>
        <v>93025</v>
      </c>
      <c r="J170">
        <v>1.61</v>
      </c>
      <c r="K170">
        <v>33</v>
      </c>
      <c r="L170">
        <v>19</v>
      </c>
      <c r="M170">
        <v>398</v>
      </c>
      <c r="O170">
        <v>0.68700000000000006</v>
      </c>
      <c r="Q170" s="5">
        <f t="shared" si="15"/>
        <v>1.8312368776559753</v>
      </c>
      <c r="R170" s="2">
        <f>(0.18/1.5*MIN((1+SQRT(200/E170)),2)*(MIN(J170,2)*(K170-8))^(1/3))</f>
        <v>0.8224948802199149</v>
      </c>
      <c r="S170" s="2">
        <f>E170/1.15*IF(F170="k",(G170+4*E170)*PI(),IF(F170="q",4*G170+4*E170*PI(),2*G170+2*H170+4*E170*PI()))</f>
        <v>375156.27190698322</v>
      </c>
      <c r="T170" s="2">
        <f t="shared" si="16"/>
        <v>0.30856411292588398</v>
      </c>
      <c r="U170" s="4">
        <f t="shared" si="17"/>
        <v>2.2264416736142452</v>
      </c>
      <c r="V170" s="4"/>
      <c r="W170" s="4"/>
      <c r="X170" s="3"/>
      <c r="Y170" s="3"/>
      <c r="AB170" s="3"/>
    </row>
    <row r="171" spans="1:28" x14ac:dyDescent="0.45">
      <c r="A171" t="s">
        <v>16</v>
      </c>
      <c r="B171" t="s">
        <v>17</v>
      </c>
      <c r="C171" s="1">
        <v>2</v>
      </c>
      <c r="D171">
        <v>178</v>
      </c>
      <c r="E171">
        <v>143</v>
      </c>
      <c r="F171" t="s">
        <v>17</v>
      </c>
      <c r="G171">
        <v>305</v>
      </c>
      <c r="H171" t="s">
        <v>15</v>
      </c>
      <c r="I171">
        <f t="shared" si="14"/>
        <v>93025</v>
      </c>
      <c r="J171">
        <v>1.41</v>
      </c>
      <c r="K171">
        <v>30.4</v>
      </c>
      <c r="L171">
        <v>19</v>
      </c>
      <c r="M171">
        <v>398</v>
      </c>
      <c r="O171">
        <v>0.58799999999999997</v>
      </c>
      <c r="Q171" s="5">
        <f t="shared" si="15"/>
        <v>1.5673468472514023</v>
      </c>
      <c r="R171" s="2">
        <f>(0.18/1.5*MIN((1+SQRT(200/E171)),2)*(MIN(J171,2)*(K171-8))^(1/3))</f>
        <v>0.75863629874371197</v>
      </c>
      <c r="S171" s="2">
        <f>E171/1.15*IF(F171="k",(G171+4*E171)*PI(),IF(F171="q",4*G171+4*E171*PI(),2*G171+2*H171+4*E171*PI()))</f>
        <v>375156.27190698322</v>
      </c>
      <c r="T171" s="2">
        <f t="shared" si="16"/>
        <v>0.28460716557000337</v>
      </c>
      <c r="U171" s="4">
        <f t="shared" si="17"/>
        <v>2.0660056074918907</v>
      </c>
      <c r="V171" s="4"/>
      <c r="W171" s="4"/>
      <c r="X171" s="3"/>
      <c r="Y171" s="3"/>
      <c r="AB171" s="3"/>
    </row>
    <row r="172" spans="1:28" x14ac:dyDescent="0.45">
      <c r="A172" t="s">
        <v>16</v>
      </c>
      <c r="B172" t="s">
        <v>14</v>
      </c>
      <c r="C172" s="1">
        <v>2.4</v>
      </c>
      <c r="D172">
        <v>240</v>
      </c>
      <c r="E172">
        <v>200</v>
      </c>
      <c r="F172" t="s">
        <v>17</v>
      </c>
      <c r="G172">
        <v>300</v>
      </c>
      <c r="H172" t="s">
        <v>15</v>
      </c>
      <c r="I172">
        <f t="shared" si="14"/>
        <v>90000</v>
      </c>
      <c r="J172">
        <v>0.79</v>
      </c>
      <c r="K172">
        <v>28.6</v>
      </c>
      <c r="L172">
        <v>20</v>
      </c>
      <c r="M172">
        <v>500</v>
      </c>
      <c r="O172">
        <v>0.80500000000000005</v>
      </c>
      <c r="Q172" s="5">
        <f t="shared" si="15"/>
        <v>1.246541420545634</v>
      </c>
      <c r="R172" s="2">
        <f>(0.18/1.5*MIN((1+SQRT(200/E172)),2)*(MIN(J172,2)*(K172-8))^(1/3))</f>
        <v>0.60819476677993689</v>
      </c>
      <c r="S172" s="2">
        <f>E172/1.15*IF(F172="k",(G172+4*E172)*PI(),IF(F172="q",4*G172+4*E172*PI(),2*G172+2*H172+4*E172*PI()))</f>
        <v>645786.80397771043</v>
      </c>
      <c r="T172" s="2">
        <f t="shared" si="16"/>
        <v>0.39276415463478442</v>
      </c>
      <c r="U172" s="4">
        <f t="shared" si="17"/>
        <v>2.0495760381915127</v>
      </c>
      <c r="V172" s="4"/>
      <c r="W172" s="4"/>
      <c r="X172" s="3"/>
      <c r="Y172" s="3"/>
      <c r="AB172" s="3"/>
    </row>
    <row r="173" spans="1:28" x14ac:dyDescent="0.45">
      <c r="A173" t="s">
        <v>18</v>
      </c>
      <c r="B173" t="s">
        <v>17</v>
      </c>
      <c r="C173" s="1">
        <v>2.742</v>
      </c>
      <c r="D173">
        <v>200</v>
      </c>
      <c r="E173">
        <v>159</v>
      </c>
      <c r="F173" t="s">
        <v>17</v>
      </c>
      <c r="G173">
        <v>200</v>
      </c>
      <c r="H173" t="s">
        <v>15</v>
      </c>
      <c r="I173">
        <f t="shared" si="14"/>
        <v>40000</v>
      </c>
      <c r="J173">
        <v>1.26</v>
      </c>
      <c r="K173">
        <v>40.6</v>
      </c>
      <c r="L173">
        <v>20</v>
      </c>
      <c r="M173">
        <v>680</v>
      </c>
      <c r="N173">
        <v>200</v>
      </c>
      <c r="O173">
        <v>0.58699999999999997</v>
      </c>
      <c r="Q173" s="5">
        <f t="shared" si="15"/>
        <v>1.517339948173261</v>
      </c>
      <c r="R173" s="2">
        <f>(0.18/1.5*MIN((1+SQRT(200/E173)),2)*(MIN(J173,2)*(K173-8))^(1/3))</f>
        <v>0.82808316744946997</v>
      </c>
      <c r="S173" s="2">
        <f>E173/1.15*IF(F173="k",(G173+4*E173)*PI(),IF(F173="q",4*G173+4*E173*PI(),2*G173+2*H173+4*E173*PI()))</f>
        <v>386861.23087096895</v>
      </c>
      <c r="T173" s="2">
        <f t="shared" si="16"/>
        <v>0.32035327342303266</v>
      </c>
      <c r="U173" s="4">
        <f t="shared" si="17"/>
        <v>1.8323521209188807</v>
      </c>
      <c r="V173" s="4"/>
      <c r="W173" s="4"/>
      <c r="X173" s="3"/>
      <c r="Y173" s="3"/>
      <c r="AB173" s="3"/>
    </row>
    <row r="174" spans="1:28" x14ac:dyDescent="0.45">
      <c r="A174" t="s">
        <v>18</v>
      </c>
      <c r="B174" t="s">
        <v>17</v>
      </c>
      <c r="C174" s="1">
        <v>2.742</v>
      </c>
      <c r="D174">
        <v>200</v>
      </c>
      <c r="E174">
        <v>159</v>
      </c>
      <c r="F174" t="s">
        <v>17</v>
      </c>
      <c r="G174">
        <v>200</v>
      </c>
      <c r="H174" t="s">
        <v>15</v>
      </c>
      <c r="I174">
        <f t="shared" si="14"/>
        <v>40000</v>
      </c>
      <c r="J174">
        <v>1.26</v>
      </c>
      <c r="K174">
        <v>39.700000000000003</v>
      </c>
      <c r="L174">
        <v>20</v>
      </c>
      <c r="M174">
        <v>680</v>
      </c>
      <c r="N174">
        <v>200</v>
      </c>
      <c r="O174">
        <v>0.56000000000000005</v>
      </c>
      <c r="Q174" s="5">
        <f t="shared" si="15"/>
        <v>1.447547480369721</v>
      </c>
      <c r="R174" s="2">
        <f>(0.18/1.5*MIN((1+SQRT(200/E174)),2)*(MIN(J174,2)*(K174-8))^(1/3))</f>
        <v>0.8203915480852717</v>
      </c>
      <c r="S174" s="2">
        <f>E174/1.15*IF(F174="k",(G174+4*E174)*PI(),IF(F174="q",4*G174+4*E174*PI(),2*G174+2*H174+4*E174*PI()))</f>
        <v>386861.23087096895</v>
      </c>
      <c r="T174" s="2">
        <f t="shared" si="16"/>
        <v>0.31737768408840789</v>
      </c>
      <c r="U174" s="4">
        <f t="shared" si="17"/>
        <v>1.7644592801427335</v>
      </c>
      <c r="V174" s="4"/>
      <c r="W174" s="4"/>
      <c r="X174" s="3"/>
      <c r="Y174" s="3"/>
      <c r="AB174" s="3"/>
    </row>
    <row r="175" spans="1:28" x14ac:dyDescent="0.45">
      <c r="A175" t="s">
        <v>18</v>
      </c>
      <c r="B175" t="s">
        <v>17</v>
      </c>
      <c r="C175" s="1">
        <v>1.8</v>
      </c>
      <c r="D175">
        <v>150</v>
      </c>
      <c r="E175">
        <v>116</v>
      </c>
      <c r="F175" t="s">
        <v>17</v>
      </c>
      <c r="G175">
        <v>250</v>
      </c>
      <c r="H175" t="s">
        <v>15</v>
      </c>
      <c r="I175">
        <f t="shared" si="14"/>
        <v>62500</v>
      </c>
      <c r="J175">
        <v>1.41</v>
      </c>
      <c r="K175">
        <v>34.9</v>
      </c>
      <c r="L175" t="s">
        <v>15</v>
      </c>
      <c r="M175">
        <v>516</v>
      </c>
      <c r="N175">
        <v>210</v>
      </c>
      <c r="O175">
        <v>0.40799999999999997</v>
      </c>
      <c r="Q175" s="5">
        <f t="shared" si="15"/>
        <v>1.6457782668185472</v>
      </c>
      <c r="R175" s="2">
        <f>(0.18/1.5*MIN((1+SQRT(200/E175)),2)*(MIN(J175,2)*(K175-8))^(1/3))</f>
        <v>0.80637125747894345</v>
      </c>
      <c r="S175" s="2">
        <f>E175/1.15*IF(F175="k",(G175+4*E175)*PI(),IF(F175="q",4*G175+4*E175*PI(),2*G175+2*H175+4*E175*PI()))</f>
        <v>247907.02868418873</v>
      </c>
      <c r="T175" s="2">
        <f t="shared" si="16"/>
        <v>0.19990510245793774</v>
      </c>
      <c r="U175" s="4">
        <f t="shared" si="17"/>
        <v>2.0409684144297802</v>
      </c>
      <c r="V175" s="4"/>
      <c r="W175" s="4"/>
      <c r="X175" s="3"/>
      <c r="Y175" s="3"/>
      <c r="AB175" s="3"/>
    </row>
    <row r="176" spans="1:28" x14ac:dyDescent="0.45">
      <c r="A176" t="s">
        <v>18</v>
      </c>
      <c r="B176" t="s">
        <v>17</v>
      </c>
      <c r="C176" s="1">
        <v>1.8</v>
      </c>
      <c r="D176">
        <v>150</v>
      </c>
      <c r="E176">
        <v>113</v>
      </c>
      <c r="F176" t="s">
        <v>17</v>
      </c>
      <c r="G176">
        <v>250</v>
      </c>
      <c r="H176" t="s">
        <v>15</v>
      </c>
      <c r="I176">
        <f t="shared" si="14"/>
        <v>62500</v>
      </c>
      <c r="J176">
        <v>1.54</v>
      </c>
      <c r="K176">
        <v>31.2</v>
      </c>
      <c r="L176" t="s">
        <v>15</v>
      </c>
      <c r="M176">
        <v>479</v>
      </c>
      <c r="N176">
        <v>210</v>
      </c>
      <c r="O176">
        <v>0.375</v>
      </c>
      <c r="Q176" s="5">
        <f t="shared" si="15"/>
        <v>1.5770131700694618</v>
      </c>
      <c r="R176" s="2">
        <f>(0.18/1.5*MIN((1+SQRT(200/E176)),2)*(MIN(J176,2)*(K176-8))^(1/3))</f>
        <v>0.79046166040843746</v>
      </c>
      <c r="S176" s="2">
        <f>E176/1.15*IF(F176="k",(G176+4*E176)*PI(),IF(F176="q",4*G176+4*E176*PI(),2*G176+2*H176+4*E176*PI()))</f>
        <v>237791.29249978464</v>
      </c>
      <c r="T176" s="2">
        <f t="shared" si="16"/>
        <v>0.18796489990004819</v>
      </c>
      <c r="U176" s="4">
        <f t="shared" si="17"/>
        <v>1.9950533328265501</v>
      </c>
      <c r="V176" s="4"/>
      <c r="W176" s="4"/>
      <c r="X176" s="3"/>
      <c r="Y176" s="3"/>
      <c r="AB176" s="3"/>
    </row>
    <row r="177" spans="1:28" x14ac:dyDescent="0.45">
      <c r="A177" t="s">
        <v>18</v>
      </c>
      <c r="B177" t="s">
        <v>14</v>
      </c>
      <c r="C177" s="1">
        <v>1.7</v>
      </c>
      <c r="D177">
        <v>175</v>
      </c>
      <c r="E177">
        <v>139</v>
      </c>
      <c r="F177" t="s">
        <v>17</v>
      </c>
      <c r="G177">
        <v>200</v>
      </c>
      <c r="H177" t="s">
        <v>15</v>
      </c>
      <c r="I177">
        <f t="shared" si="14"/>
        <v>40000</v>
      </c>
      <c r="J177">
        <v>0.72</v>
      </c>
      <c r="K177">
        <v>25.5</v>
      </c>
      <c r="L177" t="s">
        <v>15</v>
      </c>
      <c r="M177">
        <v>500</v>
      </c>
      <c r="N177">
        <v>210</v>
      </c>
      <c r="O177">
        <v>0.45400000000000001</v>
      </c>
      <c r="Q177" s="5">
        <f t="shared" si="15"/>
        <v>1.4748802276517528</v>
      </c>
      <c r="R177" s="2">
        <f>(0.18/1.5*MIN((1+SQRT(200/E177)),2)*(MIN(J177,2)*(K177-8))^(1/3))</f>
        <v>0.55847202514813477</v>
      </c>
      <c r="S177" s="2">
        <f>E177/1.15*IF(F177="k",(G177+4*E177)*PI(),IF(F177="q",4*G177+4*E177*PI(),2*G177+2*H177+4*E177*PI()))</f>
        <v>307821.60577394225</v>
      </c>
      <c r="T177" s="2">
        <f t="shared" si="16"/>
        <v>0.1719097555609243</v>
      </c>
      <c r="U177" s="4">
        <f t="shared" si="17"/>
        <v>2.6409205138977918</v>
      </c>
      <c r="V177" s="4"/>
      <c r="W177" s="4"/>
      <c r="X177" s="3"/>
      <c r="Y177" s="3"/>
      <c r="AB177" s="3"/>
    </row>
    <row r="178" spans="1:28" x14ac:dyDescent="0.45">
      <c r="A178" t="s">
        <v>19</v>
      </c>
      <c r="B178" t="s">
        <v>14</v>
      </c>
      <c r="C178" s="1">
        <v>2</v>
      </c>
      <c r="D178">
        <v>160</v>
      </c>
      <c r="E178">
        <v>124</v>
      </c>
      <c r="F178" t="s">
        <v>17</v>
      </c>
      <c r="G178">
        <v>250</v>
      </c>
      <c r="H178" t="s">
        <v>15</v>
      </c>
      <c r="I178">
        <f t="shared" si="14"/>
        <v>62500</v>
      </c>
      <c r="J178">
        <v>1.54</v>
      </c>
      <c r="K178">
        <v>35.1</v>
      </c>
      <c r="L178">
        <v>14</v>
      </c>
      <c r="M178">
        <v>488</v>
      </c>
      <c r="N178">
        <v>201</v>
      </c>
      <c r="O178">
        <v>0.48299999999999998</v>
      </c>
      <c r="Q178" s="5">
        <f t="shared" si="15"/>
        <v>1.750990161400036</v>
      </c>
      <c r="R178" s="2">
        <f>(0.18/1.5*MIN((1+SQRT(200/E178)),2)*(MIN(J178,2)*(K178-8))^(1/3))</f>
        <v>0.83248147674068596</v>
      </c>
      <c r="S178" s="2">
        <f>E178/1.15*IF(F178="k",(G178+4*E178)*PI(),IF(F178="q",4*G178+4*E178*PI(),2*G178+2*H178+4*E178*PI()))</f>
        <v>275843.92570990149</v>
      </c>
      <c r="T178" s="2">
        <f t="shared" si="16"/>
        <v>0.22963495862492686</v>
      </c>
      <c r="U178" s="4">
        <f t="shared" si="17"/>
        <v>2.103338284781394</v>
      </c>
      <c r="V178" s="4"/>
      <c r="W178" s="4"/>
      <c r="X178" s="3"/>
      <c r="Y178" s="3"/>
      <c r="AB178" s="3"/>
    </row>
    <row r="179" spans="1:28" x14ac:dyDescent="0.45">
      <c r="A179" t="s">
        <v>19</v>
      </c>
      <c r="B179" t="s">
        <v>14</v>
      </c>
      <c r="C179" s="1">
        <v>3</v>
      </c>
      <c r="D179">
        <v>230</v>
      </c>
      <c r="E179">
        <v>190</v>
      </c>
      <c r="F179" t="s">
        <v>17</v>
      </c>
      <c r="G179">
        <v>300</v>
      </c>
      <c r="H179" t="s">
        <v>15</v>
      </c>
      <c r="I179">
        <f t="shared" si="14"/>
        <v>90000</v>
      </c>
      <c r="J179">
        <v>1.3</v>
      </c>
      <c r="K179">
        <v>33.9</v>
      </c>
      <c r="L179">
        <v>20</v>
      </c>
      <c r="M179">
        <v>531</v>
      </c>
      <c r="N179">
        <v>205</v>
      </c>
      <c r="O179">
        <v>0.82499999999999996</v>
      </c>
      <c r="Q179" s="5">
        <f t="shared" si="15"/>
        <v>1.3918515314116462</v>
      </c>
      <c r="R179" s="2">
        <f>(0.18/1.5*MIN((1+SQRT(200/E179)),2)*(MIN(J179,2)*(K179-8))^(1/3))</f>
        <v>0.77498318659327026</v>
      </c>
      <c r="S179" s="2">
        <f>E179/1.15*IF(F179="k",(G179+4*E179)*PI(),IF(F179="q",4*G179+4*E179*PI(),2*G179+2*H179+4*E179*PI()))</f>
        <v>592735.63406814449</v>
      </c>
      <c r="T179" s="2">
        <f t="shared" si="16"/>
        <v>0.45936015049751316</v>
      </c>
      <c r="U179" s="4">
        <f t="shared" si="17"/>
        <v>1.7959764230886768</v>
      </c>
      <c r="V179" s="4"/>
      <c r="W179" s="4"/>
      <c r="X179" s="3"/>
      <c r="Y179" s="3"/>
      <c r="AB179" s="3"/>
    </row>
    <row r="180" spans="1:28" x14ac:dyDescent="0.45">
      <c r="A180" t="s">
        <v>19</v>
      </c>
      <c r="B180" t="s">
        <v>14</v>
      </c>
      <c r="C180" s="1">
        <v>3.8</v>
      </c>
      <c r="D180">
        <v>300</v>
      </c>
      <c r="E180">
        <v>260</v>
      </c>
      <c r="F180" t="s">
        <v>17</v>
      </c>
      <c r="G180">
        <v>350</v>
      </c>
      <c r="H180" t="s">
        <v>15</v>
      </c>
      <c r="I180">
        <f t="shared" si="14"/>
        <v>122500</v>
      </c>
      <c r="J180">
        <v>1.1000000000000001</v>
      </c>
      <c r="K180">
        <v>30.4</v>
      </c>
      <c r="L180">
        <v>20</v>
      </c>
      <c r="M180">
        <v>524</v>
      </c>
      <c r="N180">
        <v>203</v>
      </c>
      <c r="O180">
        <v>1.046</v>
      </c>
      <c r="Q180" s="5">
        <f t="shared" si="15"/>
        <v>0.99127583851056134</v>
      </c>
      <c r="R180" s="2">
        <f>(0.18/1.5*MIN((1+SQRT(200/E180)),2)*(MIN(J180,2)*(K180-8))^(1/3))</f>
        <v>0.65544941062772655</v>
      </c>
      <c r="S180" s="2">
        <f>E180/1.15*IF(F180="k",(G180+4*E180)*PI(),IF(F180="q",4*G180+4*E180*PI(),2*G180+2*H180+4*E180*PI()))</f>
        <v>1055205.7856788523</v>
      </c>
      <c r="T180" s="2">
        <f t="shared" si="16"/>
        <v>0.69163401031417082</v>
      </c>
      <c r="U180" s="4">
        <f t="shared" si="17"/>
        <v>1.5123605612235009</v>
      </c>
      <c r="V180" s="4"/>
      <c r="W180" s="4"/>
      <c r="X180" s="3"/>
      <c r="Y180" s="3"/>
      <c r="AB180" s="3"/>
    </row>
    <row r="181" spans="1:28" x14ac:dyDescent="0.45">
      <c r="A181" t="s">
        <v>18</v>
      </c>
      <c r="B181" t="s">
        <v>14</v>
      </c>
      <c r="C181" s="1">
        <v>2.16</v>
      </c>
      <c r="D181">
        <v>250</v>
      </c>
      <c r="E181">
        <v>205</v>
      </c>
      <c r="F181" t="s">
        <v>14</v>
      </c>
      <c r="G181">
        <v>300</v>
      </c>
      <c r="H181" t="s">
        <v>15</v>
      </c>
      <c r="I181">
        <f t="shared" si="14"/>
        <v>70685.83470577035</v>
      </c>
      <c r="J181">
        <v>1.53</v>
      </c>
      <c r="K181">
        <v>47.4</v>
      </c>
      <c r="L181" t="s">
        <v>15</v>
      </c>
      <c r="M181">
        <v>500</v>
      </c>
      <c r="O181">
        <v>1.2529999999999999</v>
      </c>
      <c r="Q181" s="5">
        <f t="shared" si="15"/>
        <v>1.997685672894308</v>
      </c>
      <c r="R181" s="2">
        <f>(0.18/1.5*MIN((1+SQRT(200/E181)),2)*(MIN(J181,2)*(K181-8))^(1/3))</f>
        <v>0.93526446655055651</v>
      </c>
      <c r="S181" s="2">
        <f>E181/1.15*IF(F181="k",(G181+4*E181)*PI(),IF(F181="q",4*G181+4*E181*PI(),2*G181+2*H181+4*E181*PI()))</f>
        <v>627225.80283844913</v>
      </c>
      <c r="T181" s="2">
        <f t="shared" si="16"/>
        <v>0.58662200589844671</v>
      </c>
      <c r="U181" s="4">
        <f t="shared" si="17"/>
        <v>2.1359580571495189</v>
      </c>
      <c r="V181" s="4"/>
      <c r="W181" s="4"/>
      <c r="X181" s="3"/>
      <c r="Y181" s="3"/>
      <c r="AB181" s="3"/>
    </row>
    <row r="182" spans="1:28" x14ac:dyDescent="0.45">
      <c r="A182" t="s">
        <v>18</v>
      </c>
      <c r="B182" t="s">
        <v>14</v>
      </c>
      <c r="C182" s="1">
        <v>2.16</v>
      </c>
      <c r="D182">
        <v>250</v>
      </c>
      <c r="E182">
        <v>205</v>
      </c>
      <c r="F182" t="s">
        <v>14</v>
      </c>
      <c r="G182">
        <v>300</v>
      </c>
      <c r="H182" t="s">
        <v>15</v>
      </c>
      <c r="I182">
        <f t="shared" si="14"/>
        <v>70685.83470577035</v>
      </c>
      <c r="J182">
        <v>1.53</v>
      </c>
      <c r="K182">
        <v>45.8</v>
      </c>
      <c r="L182" t="s">
        <v>15</v>
      </c>
      <c r="M182">
        <v>500</v>
      </c>
      <c r="O182">
        <v>1.19</v>
      </c>
      <c r="Q182" s="5">
        <f t="shared" si="15"/>
        <v>1.8972433764918011</v>
      </c>
      <c r="R182" s="2">
        <f>(0.18/1.5*MIN((1+SQRT(200/E182)),2)*(MIN(J182,2)*(K182-8))^(1/3))</f>
        <v>0.92242902626783418</v>
      </c>
      <c r="S182" s="2">
        <f>E182/1.15*IF(F182="k",(G182+4*E182)*PI(),IF(F182="q",4*G182+4*E182*PI(),2*G182+2*H182+4*E182*PI()))</f>
        <v>627225.80283844913</v>
      </c>
      <c r="T182" s="2">
        <f t="shared" si="16"/>
        <v>0.57857128656233114</v>
      </c>
      <c r="U182" s="4">
        <f t="shared" si="17"/>
        <v>2.0567906282915716</v>
      </c>
      <c r="V182" s="4"/>
      <c r="W182" s="4"/>
      <c r="X182" s="3"/>
      <c r="Y182" s="3"/>
      <c r="AB182" s="3"/>
    </row>
    <row r="183" spans="1:28" x14ac:dyDescent="0.45">
      <c r="A183" t="s">
        <v>18</v>
      </c>
      <c r="B183" t="s">
        <v>14</v>
      </c>
      <c r="C183" s="1">
        <v>2.76</v>
      </c>
      <c r="D183">
        <v>250</v>
      </c>
      <c r="E183">
        <v>193</v>
      </c>
      <c r="F183" t="s">
        <v>17</v>
      </c>
      <c r="G183">
        <v>130</v>
      </c>
      <c r="H183" t="s">
        <v>15</v>
      </c>
      <c r="I183">
        <f t="shared" si="14"/>
        <v>16900</v>
      </c>
      <c r="J183">
        <v>1.63</v>
      </c>
      <c r="K183">
        <v>36.200000000000003</v>
      </c>
      <c r="L183">
        <v>16</v>
      </c>
      <c r="M183">
        <v>583</v>
      </c>
      <c r="O183">
        <v>0.68200000000000005</v>
      </c>
      <c r="Q183" s="5">
        <f t="shared" si="15"/>
        <v>1.3797295430335901</v>
      </c>
      <c r="R183" s="2">
        <f>(0.18/1.5*MIN((1+SQRT(200/E183)),2)*(MIN(J183,2)*(K183-8))^(1/3))</f>
        <v>0.85971956964476215</v>
      </c>
      <c r="S183" s="2">
        <f>E183/1.15*IF(F183="k",(G183+4*E183)*PI(),IF(F183="q",4*G183+4*E183*PI(),2*G183+2*H183+4*E183*PI()))</f>
        <v>494299.77305588248</v>
      </c>
      <c r="T183" s="2">
        <f t="shared" si="16"/>
        <v>0.42495918816710687</v>
      </c>
      <c r="U183" s="4">
        <f t="shared" si="17"/>
        <v>1.6048599935950012</v>
      </c>
      <c r="V183" s="4"/>
      <c r="W183" s="4"/>
      <c r="X183" s="3"/>
      <c r="Y183" s="3"/>
      <c r="AB183" s="3"/>
    </row>
    <row r="184" spans="1:28" x14ac:dyDescent="0.45">
      <c r="A184" t="s">
        <v>18</v>
      </c>
      <c r="B184" t="s">
        <v>14</v>
      </c>
      <c r="C184" s="1">
        <v>2.76</v>
      </c>
      <c r="D184">
        <v>250</v>
      </c>
      <c r="E184">
        <v>210</v>
      </c>
      <c r="F184" t="s">
        <v>17</v>
      </c>
      <c r="G184">
        <v>260</v>
      </c>
      <c r="H184" t="s">
        <v>15</v>
      </c>
      <c r="I184">
        <f t="shared" si="14"/>
        <v>67600</v>
      </c>
      <c r="J184">
        <v>1.5</v>
      </c>
      <c r="K184">
        <v>34</v>
      </c>
      <c r="L184">
        <v>16</v>
      </c>
      <c r="M184">
        <v>709</v>
      </c>
      <c r="O184">
        <v>0.97399999999999998</v>
      </c>
      <c r="Q184" s="5">
        <f t="shared" si="15"/>
        <v>1.4498232293414377</v>
      </c>
      <c r="R184" s="2">
        <f>(0.18/1.5*MIN((1+SQRT(200/E184)),2)*(MIN(J184,2)*(K184-8))^(1/3))</f>
        <v>0.80408339251627092</v>
      </c>
      <c r="S184" s="2">
        <f>E184/1.15*IF(F184="k",(G184+4*E184)*PI(),IF(F184="q",4*G184+4*E184*PI(),2*G184+2*H184+4*E184*PI()))</f>
        <v>671806.03834194748</v>
      </c>
      <c r="T184" s="2">
        <f t="shared" si="16"/>
        <v>0.54018807842290917</v>
      </c>
      <c r="U184" s="4">
        <f t="shared" si="17"/>
        <v>1.8030757043798784</v>
      </c>
      <c r="V184" s="4"/>
      <c r="W184" s="4"/>
      <c r="X184" s="3"/>
      <c r="Y184" s="3"/>
      <c r="AB184" s="3"/>
    </row>
    <row r="185" spans="1:28" x14ac:dyDescent="0.45">
      <c r="A185" t="s">
        <v>18</v>
      </c>
      <c r="B185" t="s">
        <v>14</v>
      </c>
      <c r="C185" s="1">
        <v>2.76</v>
      </c>
      <c r="D185">
        <v>250</v>
      </c>
      <c r="E185">
        <v>197</v>
      </c>
      <c r="F185" t="s">
        <v>17</v>
      </c>
      <c r="G185">
        <v>520</v>
      </c>
      <c r="H185" t="s">
        <v>15</v>
      </c>
      <c r="I185">
        <f t="shared" si="14"/>
        <v>270400</v>
      </c>
      <c r="J185">
        <v>1.59</v>
      </c>
      <c r="K185">
        <v>36.5</v>
      </c>
      <c r="L185">
        <v>16</v>
      </c>
      <c r="M185">
        <v>583</v>
      </c>
      <c r="O185">
        <v>1.3240000000000001</v>
      </c>
      <c r="Q185" s="5">
        <f t="shared" si="15"/>
        <v>1.6965880248796315</v>
      </c>
      <c r="R185" s="2">
        <f>(0.18/1.5*MIN((1+SQRT(200/E185)),2)*(MIN(J185,2)*(K185-8))^(1/3))</f>
        <v>0.85564162364458296</v>
      </c>
      <c r="S185" s="2">
        <f>E185/1.15*IF(F185="k",(G185+4*E185)*PI(),IF(F185="q",4*G185+4*E185*PI(),2*G185+2*H185+4*E185*PI()))</f>
        <v>780389.80623710016</v>
      </c>
      <c r="T185" s="2">
        <f t="shared" si="16"/>
        <v>0.66773400088439394</v>
      </c>
      <c r="U185" s="4">
        <f t="shared" si="17"/>
        <v>1.9828254937541014</v>
      </c>
      <c r="V185" s="4"/>
      <c r="W185" s="4"/>
      <c r="X185" s="3"/>
      <c r="Y185" s="3"/>
      <c r="AB185" s="3"/>
    </row>
    <row r="186" spans="1:28" x14ac:dyDescent="0.45">
      <c r="A186" t="s">
        <v>18</v>
      </c>
      <c r="B186" t="s">
        <v>14</v>
      </c>
      <c r="C186" s="1">
        <v>2.76</v>
      </c>
      <c r="D186">
        <v>320</v>
      </c>
      <c r="E186">
        <v>267</v>
      </c>
      <c r="F186" t="s">
        <v>17</v>
      </c>
      <c r="G186">
        <v>340</v>
      </c>
      <c r="H186" t="s">
        <v>15</v>
      </c>
      <c r="I186">
        <f t="shared" si="14"/>
        <v>115600</v>
      </c>
      <c r="J186">
        <v>1.58</v>
      </c>
      <c r="K186">
        <v>30.5</v>
      </c>
      <c r="L186">
        <v>16</v>
      </c>
      <c r="M186">
        <v>531</v>
      </c>
      <c r="O186">
        <v>1.625</v>
      </c>
      <c r="Q186" s="5">
        <f t="shared" si="15"/>
        <v>1.4843553968397269</v>
      </c>
      <c r="R186" s="2">
        <f>(0.18/1.5*MIN((1+SQRT(200/E186)),2)*(MIN(J186,2)*(K186-8))^(1/3))</f>
        <v>0.73607057988036995</v>
      </c>
      <c r="S186" s="2">
        <f>E186/1.15*IF(F186="k",(G186+4*E186)*PI(),IF(F186="q",4*G186+4*E186*PI(),2*G186+2*H186+4*E186*PI()))</f>
        <v>1094751.2997626532</v>
      </c>
      <c r="T186" s="2">
        <f t="shared" si="16"/>
        <v>0.80581422404108483</v>
      </c>
      <c r="U186" s="4">
        <f t="shared" si="17"/>
        <v>2.0165938395214384</v>
      </c>
      <c r="V186" s="4"/>
      <c r="W186" s="4"/>
      <c r="X186" s="3"/>
      <c r="Y186" s="3"/>
      <c r="AB186" s="3"/>
    </row>
    <row r="187" spans="1:28" x14ac:dyDescent="0.45">
      <c r="A187" t="s">
        <v>18</v>
      </c>
      <c r="B187" t="s">
        <v>14</v>
      </c>
      <c r="C187" s="1">
        <v>2.76</v>
      </c>
      <c r="D187">
        <v>400</v>
      </c>
      <c r="E187">
        <v>353</v>
      </c>
      <c r="F187" t="s">
        <v>17</v>
      </c>
      <c r="G187">
        <v>440</v>
      </c>
      <c r="H187" t="s">
        <v>15</v>
      </c>
      <c r="I187">
        <f t="shared" si="14"/>
        <v>193600</v>
      </c>
      <c r="J187">
        <v>1.5</v>
      </c>
      <c r="K187">
        <v>31.9</v>
      </c>
      <c r="L187">
        <v>16</v>
      </c>
      <c r="M187">
        <v>580</v>
      </c>
      <c r="O187">
        <v>2.4910000000000001</v>
      </c>
      <c r="Q187" s="5">
        <f t="shared" si="15"/>
        <v>1.3097561373161486</v>
      </c>
      <c r="R187" s="2">
        <f>(0.18/1.5*MIN((1+SQRT(200/E187)),2)*(MIN(J187,2)*(K187-8))^(1/3))</f>
        <v>0.693512584859721</v>
      </c>
      <c r="S187" s="2">
        <f>E187/1.15*IF(F187="k",(G187+4*E187)*PI(),IF(F187="q",4*G187+4*E187*PI(),2*G187+2*H187+4*E187*PI()))</f>
        <v>1901880.7616388539</v>
      </c>
      <c r="T187" s="2">
        <f t="shared" si="16"/>
        <v>1.3189782430991366</v>
      </c>
      <c r="U187" s="4">
        <f t="shared" si="17"/>
        <v>1.8885830854548618</v>
      </c>
      <c r="V187" s="4"/>
      <c r="W187" s="4"/>
      <c r="X187" s="3"/>
      <c r="Y187" s="3"/>
      <c r="AB187" s="3"/>
    </row>
    <row r="188" spans="1:28" x14ac:dyDescent="0.45">
      <c r="A188" t="s">
        <v>14</v>
      </c>
      <c r="B188" t="s">
        <v>14</v>
      </c>
      <c r="C188" s="1">
        <v>3</v>
      </c>
      <c r="D188">
        <v>280</v>
      </c>
      <c r="E188">
        <v>240</v>
      </c>
      <c r="F188" t="s">
        <v>14</v>
      </c>
      <c r="G188">
        <v>300</v>
      </c>
      <c r="H188" t="s">
        <v>15</v>
      </c>
      <c r="I188">
        <f t="shared" si="14"/>
        <v>70685.83470577035</v>
      </c>
      <c r="J188">
        <v>1.4</v>
      </c>
      <c r="K188">
        <v>24.2</v>
      </c>
      <c r="L188">
        <v>32</v>
      </c>
      <c r="M188">
        <v>510</v>
      </c>
      <c r="O188">
        <v>1.095</v>
      </c>
      <c r="Q188" s="5">
        <f t="shared" si="15"/>
        <v>1.3255017333893464</v>
      </c>
      <c r="R188" s="2">
        <f>(0.18/1.5*MIN((1+SQRT(200/E188)),2)*(MIN(J188,2)*(K188-8))^(1/3))</f>
        <v>0.64975245607387411</v>
      </c>
      <c r="S188" s="2">
        <f>E188/1.15*IF(F188="k",(G188+4*E188)*PI(),IF(F188="q",4*G188+4*E188*PI(),2*G188+2*H188+4*E188*PI()))</f>
        <v>826102.27690917696</v>
      </c>
      <c r="T188" s="2">
        <f t="shared" si="16"/>
        <v>0.5367619833899574</v>
      </c>
      <c r="U188" s="4">
        <f t="shared" si="17"/>
        <v>2.0400103470153601</v>
      </c>
      <c r="V188" s="4"/>
      <c r="W188" s="4"/>
      <c r="X188" s="3"/>
      <c r="Y188" s="3"/>
      <c r="AB188" s="3"/>
    </row>
    <row r="189" spans="1:28" x14ac:dyDescent="0.45">
      <c r="A189" t="s">
        <v>18</v>
      </c>
      <c r="B189" t="s">
        <v>14</v>
      </c>
      <c r="C189" s="1">
        <v>3.92</v>
      </c>
      <c r="D189">
        <v>350</v>
      </c>
      <c r="E189">
        <v>294</v>
      </c>
      <c r="F189" t="s">
        <v>14</v>
      </c>
      <c r="G189">
        <v>400</v>
      </c>
      <c r="H189" t="s">
        <v>15</v>
      </c>
      <c r="I189">
        <f t="shared" si="14"/>
        <v>125663.70614359173</v>
      </c>
      <c r="J189">
        <v>1.2</v>
      </c>
      <c r="K189">
        <v>35.5</v>
      </c>
      <c r="L189">
        <v>32</v>
      </c>
      <c r="M189">
        <v>577</v>
      </c>
      <c r="N189">
        <v>209</v>
      </c>
      <c r="O189">
        <v>1.71</v>
      </c>
      <c r="Q189" s="5">
        <f t="shared" si="15"/>
        <v>1.3509539158388248</v>
      </c>
      <c r="R189" s="2">
        <f>(0.18/1.5*MIN((1+SQRT(200/E189)),2)*(MIN(J189,2)*(K189-8))^(1/3))</f>
        <v>0.70236768683230877</v>
      </c>
      <c r="S189" s="2">
        <f>E189/1.15*IF(F189="k",(G189+4*E189)*PI(),IF(F189="q",4*G189+4*E189*PI(),2*G189+2*H189+4*E189*PI()))</f>
        <v>1265772.2665086165</v>
      </c>
      <c r="T189" s="2">
        <f t="shared" si="16"/>
        <v>0.88903753888414572</v>
      </c>
      <c r="U189" s="4">
        <f t="shared" si="17"/>
        <v>1.9234283426842309</v>
      </c>
      <c r="V189" s="4"/>
      <c r="W189" s="4"/>
      <c r="X189" s="3"/>
      <c r="Y189" s="3"/>
      <c r="AB189" s="3"/>
    </row>
    <row r="190" spans="1:28" x14ac:dyDescent="0.45">
      <c r="A190" t="s">
        <v>14</v>
      </c>
      <c r="B190" t="s">
        <v>14</v>
      </c>
      <c r="C190" s="1">
        <v>1.2</v>
      </c>
      <c r="D190">
        <v>120</v>
      </c>
      <c r="E190">
        <v>100</v>
      </c>
      <c r="F190" t="s">
        <v>17</v>
      </c>
      <c r="G190">
        <v>200</v>
      </c>
      <c r="H190" t="s">
        <v>15</v>
      </c>
      <c r="I190">
        <f t="shared" si="14"/>
        <v>40000</v>
      </c>
      <c r="J190">
        <v>0.73</v>
      </c>
      <c r="K190">
        <v>21.6</v>
      </c>
      <c r="L190" t="s">
        <v>15</v>
      </c>
      <c r="M190">
        <v>507</v>
      </c>
      <c r="O190">
        <v>0.188</v>
      </c>
      <c r="Q190" s="5">
        <f t="shared" si="15"/>
        <v>1.0512306913746459</v>
      </c>
      <c r="R190" s="2">
        <f>(0.18/1.5*MIN((1+SQRT(200/E190)),2)*(MIN(J190,2)*(K190-8))^(1/3))</f>
        <v>0.51582038096502925</v>
      </c>
      <c r="S190" s="2">
        <f>E190/1.15*IF(F190="k",(G190+4*E190)*PI(),IF(F190="q",4*G190+4*E190*PI(),2*G190+2*H190+4*E190*PI()))</f>
        <v>178838.00534225372</v>
      </c>
      <c r="T190" s="2">
        <f t="shared" si="16"/>
        <v>9.2248288046667251E-2</v>
      </c>
      <c r="U190" s="4">
        <f t="shared" si="17"/>
        <v>2.0379781997135074</v>
      </c>
      <c r="V190" s="4"/>
      <c r="W190" s="4"/>
      <c r="X190" s="3"/>
      <c r="Y190" s="3"/>
      <c r="AB190" s="3"/>
    </row>
    <row r="191" spans="1:28" x14ac:dyDescent="0.45">
      <c r="A191" t="s">
        <v>14</v>
      </c>
      <c r="B191" t="s">
        <v>14</v>
      </c>
      <c r="C191" s="1">
        <v>1.2</v>
      </c>
      <c r="D191">
        <v>120</v>
      </c>
      <c r="E191">
        <v>100</v>
      </c>
      <c r="F191" t="s">
        <v>17</v>
      </c>
      <c r="G191">
        <v>200</v>
      </c>
      <c r="H191" t="s">
        <v>15</v>
      </c>
      <c r="I191">
        <f t="shared" si="14"/>
        <v>40000</v>
      </c>
      <c r="J191">
        <v>1.0900000000000001</v>
      </c>
      <c r="K191">
        <v>20</v>
      </c>
      <c r="L191" t="s">
        <v>15</v>
      </c>
      <c r="M191">
        <v>507</v>
      </c>
      <c r="O191">
        <v>0.20200000000000001</v>
      </c>
      <c r="Q191" s="5">
        <f t="shared" si="15"/>
        <v>1.129513827966375</v>
      </c>
      <c r="R191" s="2">
        <f>(0.18/1.5*MIN((1+SQRT(200/E191)),2)*(MIN(J191,2)*(K191-8))^(1/3))</f>
        <v>0.5654755387684175</v>
      </c>
      <c r="S191" s="2">
        <f>E191/1.15*IF(F191="k",(G191+4*E191)*PI(),IF(F191="q",4*G191+4*E191*PI(),2*G191+2*H191+4*E191*PI()))</f>
        <v>178838.00534225372</v>
      </c>
      <c r="T191" s="2">
        <f t="shared" si="16"/>
        <v>0.10112851742318005</v>
      </c>
      <c r="U191" s="4">
        <f t="shared" si="17"/>
        <v>1.9974583346724595</v>
      </c>
      <c r="V191" s="4"/>
      <c r="W191" s="4"/>
      <c r="X191" s="3"/>
      <c r="Y191" s="3"/>
      <c r="AB191" s="3"/>
    </row>
    <row r="192" spans="1:28" x14ac:dyDescent="0.45">
      <c r="A192" t="s">
        <v>14</v>
      </c>
      <c r="B192" t="s">
        <v>14</v>
      </c>
      <c r="C192" s="1">
        <v>1.2</v>
      </c>
      <c r="D192">
        <v>120</v>
      </c>
      <c r="E192">
        <v>100</v>
      </c>
      <c r="F192" t="s">
        <v>17</v>
      </c>
      <c r="G192">
        <v>200</v>
      </c>
      <c r="H192" t="s">
        <v>15</v>
      </c>
      <c r="I192">
        <f t="shared" si="14"/>
        <v>40000</v>
      </c>
      <c r="J192">
        <v>1.5</v>
      </c>
      <c r="K192">
        <v>74</v>
      </c>
      <c r="L192" t="s">
        <v>15</v>
      </c>
      <c r="M192">
        <v>471</v>
      </c>
      <c r="O192">
        <v>0.33100000000000002</v>
      </c>
      <c r="Q192" s="5">
        <f t="shared" si="15"/>
        <v>1.8508370151330205</v>
      </c>
      <c r="R192" s="2">
        <f>(0.18/1.5*MIN((1+SQRT(200/E192)),2)*(MIN(J192,2)*(K192-8))^(1/3))</f>
        <v>1.1102556022038579</v>
      </c>
      <c r="S192" s="2">
        <f>E192/1.15*IF(F192="k",(G192+4*E192)*PI(),IF(F192="q",4*G192+4*E192*PI(),2*G192+2*H192+4*E192*PI()))</f>
        <v>178838.00534225372</v>
      </c>
      <c r="T192" s="2">
        <f t="shared" si="16"/>
        <v>0.19855589731820064</v>
      </c>
      <c r="U192" s="4">
        <f t="shared" si="17"/>
        <v>1.6670368620154747</v>
      </c>
      <c r="V192" s="4"/>
      <c r="W192" s="4"/>
      <c r="X192" s="3"/>
      <c r="Y192" s="3"/>
      <c r="AB192" s="3"/>
    </row>
    <row r="193" spans="1:28" x14ac:dyDescent="0.45">
      <c r="A193" t="s">
        <v>14</v>
      </c>
      <c r="B193" t="s">
        <v>14</v>
      </c>
      <c r="C193" s="1">
        <v>1.2</v>
      </c>
      <c r="D193">
        <v>120</v>
      </c>
      <c r="E193">
        <v>100</v>
      </c>
      <c r="F193" t="s">
        <v>17</v>
      </c>
      <c r="G193">
        <v>200</v>
      </c>
      <c r="H193" t="s">
        <v>15</v>
      </c>
      <c r="I193">
        <f t="shared" si="14"/>
        <v>40000</v>
      </c>
      <c r="J193">
        <v>1.5</v>
      </c>
      <c r="K193">
        <v>75</v>
      </c>
      <c r="L193" t="s">
        <v>15</v>
      </c>
      <c r="M193">
        <v>471</v>
      </c>
      <c r="O193">
        <v>0.371</v>
      </c>
      <c r="Q193" s="5">
        <f t="shared" si="15"/>
        <v>2.0745031196808172</v>
      </c>
      <c r="R193" s="2">
        <f>(0.18/1.5*MIN((1+SQRT(200/E193)),2)*(MIN(J193,2)*(K193-8))^(1/3))</f>
        <v>1.1158348697749441</v>
      </c>
      <c r="S193" s="2">
        <f>E193/1.15*IF(F193="k",(G193+4*E193)*PI(),IF(F193="q",4*G193+4*E193*PI(),2*G193+2*H193+4*E193*PI()))</f>
        <v>178838.00534225372</v>
      </c>
      <c r="T193" s="2">
        <f t="shared" si="16"/>
        <v>0.19955368240188442</v>
      </c>
      <c r="U193" s="4">
        <f t="shared" si="17"/>
        <v>1.8591488542558539</v>
      </c>
      <c r="V193" s="4"/>
      <c r="W193" s="4"/>
      <c r="X193" s="3"/>
      <c r="Y193" s="3"/>
      <c r="AB193" s="3"/>
    </row>
    <row r="194" spans="1:28" x14ac:dyDescent="0.45">
      <c r="A194" t="s">
        <v>14</v>
      </c>
      <c r="B194" t="s">
        <v>14</v>
      </c>
      <c r="C194" s="1">
        <v>1.2</v>
      </c>
      <c r="D194">
        <v>120</v>
      </c>
      <c r="E194">
        <v>100</v>
      </c>
      <c r="F194" t="s">
        <v>17</v>
      </c>
      <c r="G194">
        <v>200</v>
      </c>
      <c r="H194" t="s">
        <v>15</v>
      </c>
      <c r="I194">
        <f t="shared" si="14"/>
        <v>40000</v>
      </c>
      <c r="J194">
        <v>2.25</v>
      </c>
      <c r="K194">
        <v>63.7</v>
      </c>
      <c r="L194" t="s">
        <v>15</v>
      </c>
      <c r="M194">
        <v>471</v>
      </c>
      <c r="O194">
        <v>0.40500000000000003</v>
      </c>
      <c r="Q194" s="5">
        <f t="shared" si="15"/>
        <v>2.2646193085464446</v>
      </c>
      <c r="R194" s="2">
        <f>(0.18/1.5*MIN((1+SQRT(200/E194)),2)*(MIN(J194,2)*(K194-8))^(1/3))</f>
        <v>1.1547987505659003</v>
      </c>
      <c r="S194" s="2">
        <f>E194/1.15*IF(F194="k",(G194+4*E194)*PI(),IF(F194="q",4*G194+4*E194*PI(),2*G194+2*H194+4*E194*PI()))</f>
        <v>178838.00534225372</v>
      </c>
      <c r="T194" s="2">
        <f t="shared" si="16"/>
        <v>0.20652190512293239</v>
      </c>
      <c r="U194" s="4">
        <f t="shared" si="17"/>
        <v>1.9610510553779916</v>
      </c>
      <c r="V194" s="4"/>
      <c r="W194" s="4"/>
      <c r="X194" s="3"/>
      <c r="Y194" s="3"/>
      <c r="AB194" s="3"/>
    </row>
    <row r="195" spans="1:28" x14ac:dyDescent="0.45">
      <c r="A195" t="s">
        <v>14</v>
      </c>
      <c r="B195" t="s">
        <v>14</v>
      </c>
      <c r="C195" s="1">
        <v>1.2</v>
      </c>
      <c r="D195">
        <v>120</v>
      </c>
      <c r="E195">
        <v>100</v>
      </c>
      <c r="F195" t="s">
        <v>17</v>
      </c>
      <c r="G195">
        <v>200</v>
      </c>
      <c r="H195" t="s">
        <v>15</v>
      </c>
      <c r="I195">
        <f t="shared" ref="I195:I258" si="18">IF(F195="k",G195^2*PI()/4,IF(F195="q",G195^2,G195*H195))</f>
        <v>40000</v>
      </c>
      <c r="J195">
        <v>2.25</v>
      </c>
      <c r="K195">
        <v>74.7</v>
      </c>
      <c r="L195" t="s">
        <v>15</v>
      </c>
      <c r="M195">
        <v>471</v>
      </c>
      <c r="O195">
        <v>0.48899999999999999</v>
      </c>
      <c r="Q195" s="5">
        <f t="shared" si="15"/>
        <v>2.7343181280968185</v>
      </c>
      <c r="R195" s="2">
        <f>(0.18/1.5*MIN((1+SQRT(200/E195)),2)*(MIN(J195,2)*(K195-8))^(1/3))</f>
        <v>1.2262994069629172</v>
      </c>
      <c r="S195" s="2">
        <f>E195/1.15*IF(F195="k",(G195+4*E195)*PI(),IF(F195="q",4*G195+4*E195*PI(),2*G195+2*H195+4*E195*PI()))</f>
        <v>178838.00534225372</v>
      </c>
      <c r="T195" s="2">
        <f t="shared" si="16"/>
        <v>0.21930893989363673</v>
      </c>
      <c r="U195" s="4">
        <f t="shared" si="17"/>
        <v>2.2297312651146894</v>
      </c>
      <c r="V195" s="4"/>
      <c r="W195" s="4"/>
      <c r="X195" s="3"/>
      <c r="Y195" s="3"/>
      <c r="AB195" s="3"/>
    </row>
    <row r="196" spans="1:28" x14ac:dyDescent="0.45">
      <c r="A196" t="s">
        <v>18</v>
      </c>
      <c r="B196" t="s">
        <v>14</v>
      </c>
      <c r="C196" s="1">
        <v>3</v>
      </c>
      <c r="D196">
        <v>250</v>
      </c>
      <c r="E196">
        <v>210</v>
      </c>
      <c r="F196" t="s">
        <v>17</v>
      </c>
      <c r="G196">
        <v>260</v>
      </c>
      <c r="H196" t="s">
        <v>15</v>
      </c>
      <c r="I196">
        <f t="shared" si="18"/>
        <v>67600</v>
      </c>
      <c r="J196">
        <v>1.5</v>
      </c>
      <c r="K196">
        <v>27.6</v>
      </c>
      <c r="L196">
        <v>16</v>
      </c>
      <c r="M196">
        <v>573</v>
      </c>
      <c r="N196">
        <v>210</v>
      </c>
      <c r="O196">
        <v>1.0229999999999999</v>
      </c>
      <c r="Q196" s="5">
        <f t="shared" si="15"/>
        <v>1.5227609482713456</v>
      </c>
      <c r="R196" s="2">
        <f>(0.18/1.5*MIN((1+SQRT(200/E196)),2)*(MIN(J196,2)*(K196-8))^(1/3))</f>
        <v>0.7318049342917553</v>
      </c>
      <c r="S196" s="2">
        <f>E196/1.15*IF(F196="k",(G196+4*E196)*PI(),IF(F196="q",4*G196+4*E196*PI(),2*G196+2*H196+4*E196*PI()))</f>
        <v>671806.03834194748</v>
      </c>
      <c r="T196" s="2">
        <f t="shared" si="16"/>
        <v>0.4916309737456333</v>
      </c>
      <c r="U196" s="4">
        <f t="shared" si="17"/>
        <v>2.0808290254903539</v>
      </c>
      <c r="V196" s="4"/>
      <c r="W196" s="4"/>
      <c r="X196" s="3"/>
      <c r="Y196" s="3"/>
      <c r="AB196" s="3"/>
    </row>
    <row r="197" spans="1:28" x14ac:dyDescent="0.45">
      <c r="A197" t="s">
        <v>18</v>
      </c>
      <c r="B197" t="s">
        <v>14</v>
      </c>
      <c r="C197" s="1">
        <v>3</v>
      </c>
      <c r="D197">
        <v>250</v>
      </c>
      <c r="E197">
        <v>210</v>
      </c>
      <c r="F197" t="s">
        <v>17</v>
      </c>
      <c r="G197">
        <v>260</v>
      </c>
      <c r="H197" t="s">
        <v>15</v>
      </c>
      <c r="I197">
        <f t="shared" si="18"/>
        <v>67600</v>
      </c>
      <c r="J197">
        <v>0.25</v>
      </c>
      <c r="K197">
        <v>40.5</v>
      </c>
      <c r="L197">
        <v>16</v>
      </c>
      <c r="M197">
        <v>552</v>
      </c>
      <c r="N197">
        <v>210</v>
      </c>
      <c r="O197">
        <v>0.44</v>
      </c>
      <c r="Q197" s="5">
        <f t="shared" si="15"/>
        <v>0.65495094549305199</v>
      </c>
      <c r="R197" s="2">
        <f>(0.18/1.5*MIN((1+SQRT(200/E197)),2)*(MIN(J197,2)*(K197-8))^(1/3))</f>
        <v>0.47667313918212995</v>
      </c>
      <c r="S197" s="2">
        <f>E197/1.15*IF(F197="k",(G197+4*E197)*PI(),IF(F197="q",4*G197+4*E197*PI(),2*G197+2*H197+4*E197*PI()))</f>
        <v>671806.03834194748</v>
      </c>
      <c r="T197" s="2">
        <f t="shared" si="16"/>
        <v>0.32023189321796647</v>
      </c>
      <c r="U197" s="4">
        <f t="shared" si="17"/>
        <v>1.3740043053753961</v>
      </c>
      <c r="V197" s="4"/>
      <c r="W197" s="4"/>
      <c r="X197" s="3"/>
      <c r="Y197" s="3"/>
      <c r="AB197" s="3"/>
    </row>
    <row r="198" spans="1:28" x14ac:dyDescent="0.45">
      <c r="A198" t="s">
        <v>18</v>
      </c>
      <c r="B198" t="s">
        <v>14</v>
      </c>
      <c r="C198" s="1">
        <v>5.7</v>
      </c>
      <c r="D198">
        <v>500</v>
      </c>
      <c r="E198">
        <v>456</v>
      </c>
      <c r="F198" t="s">
        <v>17</v>
      </c>
      <c r="G198">
        <v>520</v>
      </c>
      <c r="H198" t="s">
        <v>15</v>
      </c>
      <c r="I198">
        <f t="shared" si="18"/>
        <v>270400</v>
      </c>
      <c r="J198">
        <v>0.33</v>
      </c>
      <c r="K198">
        <v>32.4</v>
      </c>
      <c r="L198">
        <v>16</v>
      </c>
      <c r="M198">
        <v>520</v>
      </c>
      <c r="N198">
        <v>210</v>
      </c>
      <c r="O198">
        <v>2.153</v>
      </c>
      <c r="Q198" s="5">
        <f t="shared" si="15"/>
        <v>0.6952023922591567</v>
      </c>
      <c r="R198" s="2">
        <f>(0.18/1.5*MIN((1+SQRT(200/E198)),2)*(MIN(J198,2)*(K198-8))^(1/3))</f>
        <v>0.3998063951745412</v>
      </c>
      <c r="S198" s="2">
        <f>E198/1.15*IF(F198="k",(G198+4*E198)*PI(),IF(F198="q",4*G198+4*E198*PI(),2*G198+2*H198+4*E198*PI()))</f>
        <v>3096939.8609281643</v>
      </c>
      <c r="T198" s="2">
        <f t="shared" si="16"/>
        <v>1.2381763618700343</v>
      </c>
      <c r="U198" s="4">
        <f t="shared" si="17"/>
        <v>1.7388476038650063</v>
      </c>
      <c r="V198" s="4"/>
      <c r="W198" s="4"/>
      <c r="X198" s="3"/>
      <c r="Y198" s="3"/>
      <c r="AB198" s="3"/>
    </row>
    <row r="199" spans="1:28" x14ac:dyDescent="0.45">
      <c r="A199" t="s">
        <v>18</v>
      </c>
      <c r="B199" t="s">
        <v>14</v>
      </c>
      <c r="C199" s="1">
        <v>3</v>
      </c>
      <c r="D199">
        <v>250</v>
      </c>
      <c r="E199">
        <v>210</v>
      </c>
      <c r="F199" t="s">
        <v>17</v>
      </c>
      <c r="G199">
        <v>260</v>
      </c>
      <c r="H199" t="s">
        <v>15</v>
      </c>
      <c r="I199">
        <f t="shared" si="18"/>
        <v>67600</v>
      </c>
      <c r="J199">
        <v>0.25</v>
      </c>
      <c r="K199">
        <v>32.200000000000003</v>
      </c>
      <c r="L199">
        <v>4</v>
      </c>
      <c r="M199">
        <v>541</v>
      </c>
      <c r="O199">
        <v>0.40799999999999997</v>
      </c>
      <c r="Q199" s="5">
        <f t="shared" si="15"/>
        <v>0.60731814945719353</v>
      </c>
      <c r="R199" s="2">
        <f>(0.18/1.5*MIN((1+SQRT(200/E199)),2)*(MIN(J199,2)*(K199-8))^(1/3))</f>
        <v>0.4320473524859279</v>
      </c>
      <c r="S199" s="2">
        <f>E199/1.15*IF(F199="k",(G199+4*E199)*PI(),IF(F199="q",4*G199+4*E199*PI(),2*G199+2*H199+4*E199*PI()))</f>
        <v>671806.03834194748</v>
      </c>
      <c r="T199" s="2">
        <f t="shared" si="16"/>
        <v>0.29025202024969821</v>
      </c>
      <c r="U199" s="4">
        <f t="shared" si="17"/>
        <v>1.4056749704929028</v>
      </c>
      <c r="V199" s="4"/>
      <c r="W199" s="4"/>
      <c r="X199" s="3"/>
      <c r="Y199" s="3"/>
      <c r="AB199" s="3"/>
    </row>
    <row r="200" spans="1:28" x14ac:dyDescent="0.45">
      <c r="A200" t="s">
        <v>18</v>
      </c>
      <c r="B200" t="s">
        <v>14</v>
      </c>
      <c r="C200" s="1">
        <v>3</v>
      </c>
      <c r="D200">
        <v>250</v>
      </c>
      <c r="E200">
        <v>210</v>
      </c>
      <c r="F200" t="s">
        <v>17</v>
      </c>
      <c r="G200">
        <v>260</v>
      </c>
      <c r="H200" t="s">
        <v>15</v>
      </c>
      <c r="I200">
        <f t="shared" si="18"/>
        <v>67600</v>
      </c>
      <c r="J200">
        <v>0.33</v>
      </c>
      <c r="K200">
        <v>29.3</v>
      </c>
      <c r="L200">
        <v>4</v>
      </c>
      <c r="M200">
        <v>555</v>
      </c>
      <c r="O200">
        <v>0.55000000000000004</v>
      </c>
      <c r="Q200" s="5">
        <f t="shared" si="15"/>
        <v>0.81868868186631505</v>
      </c>
      <c r="R200" s="2">
        <f>(0.18/1.5*MIN((1+SQRT(200/E200)),2)*(MIN(J200,2)*(K200-8))^(1/3))</f>
        <v>0.45419680101342286</v>
      </c>
      <c r="S200" s="2">
        <f>E200/1.15*IF(F200="k",(G200+4*E200)*PI(),IF(F200="q",4*G200+4*E200*PI(),2*G200+2*H200+4*E200*PI()))</f>
        <v>671806.03834194748</v>
      </c>
      <c r="T200" s="2">
        <f t="shared" si="16"/>
        <v>0.30513215351641348</v>
      </c>
      <c r="U200" s="4">
        <f t="shared" si="17"/>
        <v>1.8024976839106364</v>
      </c>
      <c r="V200" s="4"/>
      <c r="W200" s="4"/>
      <c r="X200" s="3"/>
      <c r="Y200" s="3"/>
      <c r="AB200" s="3"/>
    </row>
    <row r="201" spans="1:28" x14ac:dyDescent="0.45">
      <c r="A201" t="s">
        <v>18</v>
      </c>
      <c r="B201" t="s">
        <v>14</v>
      </c>
      <c r="C201" s="1">
        <v>1.504</v>
      </c>
      <c r="D201">
        <v>125</v>
      </c>
      <c r="E201">
        <v>96</v>
      </c>
      <c r="F201" t="s">
        <v>17</v>
      </c>
      <c r="G201">
        <v>130</v>
      </c>
      <c r="H201" t="s">
        <v>15</v>
      </c>
      <c r="I201">
        <f t="shared" si="18"/>
        <v>16900</v>
      </c>
      <c r="J201">
        <v>1.5</v>
      </c>
      <c r="K201">
        <v>34.700000000000003</v>
      </c>
      <c r="L201">
        <v>16</v>
      </c>
      <c r="M201">
        <v>526</v>
      </c>
      <c r="O201">
        <v>0.23799999999999999</v>
      </c>
      <c r="Q201" s="5">
        <f t="shared" si="15"/>
        <v>1.6514646680836056</v>
      </c>
      <c r="R201" s="2">
        <f>(0.18/1.5*MIN((1+SQRT(200/E201)),2)*(MIN(J201,2)*(K201-8))^(1/3))</f>
        <v>0.82113030719502877</v>
      </c>
      <c r="S201" s="2">
        <f>E201/1.15*IF(F201="k",(G201+4*E201)*PI(),IF(F201="q",4*G201+4*E201*PI(),2*G201+2*H201+4*E201*PI()))</f>
        <v>144114.49702776881</v>
      </c>
      <c r="T201" s="2">
        <f t="shared" si="16"/>
        <v>0.11833678121566886</v>
      </c>
      <c r="U201" s="4">
        <f t="shared" si="17"/>
        <v>2.011209004969003</v>
      </c>
      <c r="V201" s="4"/>
      <c r="W201" s="4"/>
      <c r="X201" s="3"/>
      <c r="Y201" s="3"/>
      <c r="AB201" s="3"/>
    </row>
    <row r="202" spans="1:28" x14ac:dyDescent="0.45">
      <c r="A202" t="s">
        <v>18</v>
      </c>
      <c r="B202" t="s">
        <v>14</v>
      </c>
      <c r="C202" s="1">
        <v>1.504</v>
      </c>
      <c r="D202">
        <v>125</v>
      </c>
      <c r="E202">
        <v>100</v>
      </c>
      <c r="F202" t="s">
        <v>17</v>
      </c>
      <c r="G202">
        <v>130</v>
      </c>
      <c r="H202" t="s">
        <v>15</v>
      </c>
      <c r="I202">
        <f t="shared" si="18"/>
        <v>16900</v>
      </c>
      <c r="J202">
        <v>0.75</v>
      </c>
      <c r="K202">
        <v>34.700000000000003</v>
      </c>
      <c r="L202">
        <v>16</v>
      </c>
      <c r="M202">
        <v>550</v>
      </c>
      <c r="O202">
        <v>0.24099999999999999</v>
      </c>
      <c r="Q202" s="5">
        <f t="shared" si="15"/>
        <v>1.5599697091537716</v>
      </c>
      <c r="R202" s="2">
        <f>(0.18/1.5*MIN((1+SQRT(200/E202)),2)*(MIN(J202,2)*(K202-8))^(1/3))</f>
        <v>0.65173155672217986</v>
      </c>
      <c r="S202" s="2">
        <f>E202/1.15*IF(F202="k",(G202+4*E202)*PI(),IF(F202="q",4*G202+4*E202*PI(),2*G202+2*H202+4*E202*PI()))</f>
        <v>154490.17925529717</v>
      </c>
      <c r="T202" s="2">
        <f t="shared" si="16"/>
        <v>0.10068612502434345</v>
      </c>
      <c r="U202" s="4">
        <f t="shared" si="17"/>
        <v>2.3935770687543303</v>
      </c>
      <c r="V202" s="4"/>
      <c r="W202" s="4"/>
      <c r="X202" s="3"/>
      <c r="Y202" s="3"/>
      <c r="AB202" s="3"/>
    </row>
    <row r="203" spans="1:28" x14ac:dyDescent="0.45">
      <c r="A203" t="s">
        <v>18</v>
      </c>
      <c r="B203" t="s">
        <v>14</v>
      </c>
      <c r="C203" s="1">
        <v>1.504</v>
      </c>
      <c r="D203">
        <v>125</v>
      </c>
      <c r="E203">
        <v>117</v>
      </c>
      <c r="F203" t="s">
        <v>17</v>
      </c>
      <c r="G203">
        <v>130</v>
      </c>
      <c r="H203" t="s">
        <v>15</v>
      </c>
      <c r="I203">
        <f t="shared" si="18"/>
        <v>16900</v>
      </c>
      <c r="J203">
        <v>0.28000000000000003</v>
      </c>
      <c r="K203">
        <v>34.700000000000003</v>
      </c>
      <c r="L203">
        <v>16</v>
      </c>
      <c r="M203">
        <v>525</v>
      </c>
      <c r="O203">
        <v>0.14000000000000001</v>
      </c>
      <c r="Q203" s="5">
        <f t="shared" si="15"/>
        <v>0.69139944975404133</v>
      </c>
      <c r="R203" s="2">
        <f>(0.18/1.5*MIN((1+SQRT(200/E203)),2)*(MIN(J203,2)*(K203-8))^(1/3))</f>
        <v>0.4692824784199936</v>
      </c>
      <c r="S203" s="2">
        <f>E203/1.15*IF(F203="k",(G203+4*E203)*PI(),IF(F203="q",4*G203+4*E203*PI(),2*G203+2*H203+4*E203*PI()))</f>
        <v>202487.86725214153</v>
      </c>
      <c r="T203" s="2">
        <f t="shared" si="16"/>
        <v>9.5024008194063633E-2</v>
      </c>
      <c r="U203" s="4">
        <f t="shared" si="17"/>
        <v>1.473311878342195</v>
      </c>
      <c r="V203" s="4"/>
      <c r="W203" s="4"/>
      <c r="X203" s="3"/>
      <c r="Y203" s="3"/>
      <c r="AB203" s="3"/>
    </row>
    <row r="204" spans="1:28" x14ac:dyDescent="0.45">
      <c r="A204" t="s">
        <v>18</v>
      </c>
      <c r="B204" t="s">
        <v>14</v>
      </c>
      <c r="C204" s="1">
        <v>1.504</v>
      </c>
      <c r="D204">
        <v>125</v>
      </c>
      <c r="E204">
        <v>117</v>
      </c>
      <c r="F204" t="s">
        <v>17</v>
      </c>
      <c r="G204">
        <v>130</v>
      </c>
      <c r="H204" t="s">
        <v>15</v>
      </c>
      <c r="I204">
        <f t="shared" si="18"/>
        <v>16900</v>
      </c>
      <c r="J204">
        <v>0.22</v>
      </c>
      <c r="K204">
        <v>34.700000000000003</v>
      </c>
      <c r="L204">
        <v>16</v>
      </c>
      <c r="M204">
        <v>525</v>
      </c>
      <c r="O204">
        <v>0.115</v>
      </c>
      <c r="Q204" s="5">
        <f t="shared" si="15"/>
        <v>0.56793526229796243</v>
      </c>
      <c r="R204" s="2">
        <f>(0.18/1.5*MIN((1+SQRT(200/E204)),2)*(MIN(J204,2)*(K204-8))^(1/3))</f>
        <v>0.43303455749166908</v>
      </c>
      <c r="S204" s="2">
        <f>E204/1.15*IF(F204="k",(G204+4*E204)*PI(),IF(F204="q",4*G204+4*E204*PI(),2*G204+2*H204+4*E204*PI()))</f>
        <v>202487.86725214153</v>
      </c>
      <c r="T204" s="2">
        <f t="shared" si="16"/>
        <v>8.7684243992962929E-2</v>
      </c>
      <c r="U204" s="4">
        <f t="shared" si="17"/>
        <v>1.3115241092713223</v>
      </c>
      <c r="V204" s="4"/>
      <c r="W204" s="4"/>
      <c r="X204" s="3"/>
      <c r="Y204" s="3"/>
      <c r="AB204" s="3"/>
    </row>
    <row r="205" spans="1:28" x14ac:dyDescent="0.45">
      <c r="A205" t="s">
        <v>18</v>
      </c>
      <c r="B205" t="s">
        <v>14</v>
      </c>
      <c r="C205" s="1">
        <v>3</v>
      </c>
      <c r="D205">
        <v>250</v>
      </c>
      <c r="E205">
        <v>210</v>
      </c>
      <c r="F205" t="s">
        <v>17</v>
      </c>
      <c r="G205">
        <v>260</v>
      </c>
      <c r="H205" t="s">
        <v>15</v>
      </c>
      <c r="I205">
        <f t="shared" si="18"/>
        <v>67600</v>
      </c>
      <c r="J205">
        <v>0.33</v>
      </c>
      <c r="K205">
        <v>28.5</v>
      </c>
      <c r="L205">
        <v>16</v>
      </c>
      <c r="M205">
        <v>577</v>
      </c>
      <c r="O205">
        <v>0.54</v>
      </c>
      <c r="Q205" s="5">
        <f t="shared" si="15"/>
        <v>0.80380343310510927</v>
      </c>
      <c r="R205" s="2">
        <f>(0.18/1.5*MIN((1+SQRT(200/E205)),2)*(MIN(J205,2)*(K205-8))^(1/3))</f>
        <v>0.44843774183270718</v>
      </c>
      <c r="S205" s="2">
        <f>E205/1.15*IF(F205="k",(G205+4*E205)*PI(),IF(F205="q",4*G205+4*E205*PI(),2*G205+2*H205+4*E205*PI()))</f>
        <v>671806.03834194748</v>
      </c>
      <c r="T205" s="2">
        <f t="shared" si="16"/>
        <v>0.30126318278364006</v>
      </c>
      <c r="U205" s="4">
        <f t="shared" si="17"/>
        <v>1.7924526821049189</v>
      </c>
      <c r="V205" s="4"/>
      <c r="W205" s="4"/>
      <c r="X205" s="3"/>
      <c r="Y205" s="3"/>
      <c r="AB205" s="3"/>
    </row>
    <row r="206" spans="1:28" x14ac:dyDescent="0.45">
      <c r="A206" t="s">
        <v>18</v>
      </c>
      <c r="B206" t="s">
        <v>14</v>
      </c>
      <c r="C206" s="1">
        <v>0.56000000000000005</v>
      </c>
      <c r="D206">
        <v>200</v>
      </c>
      <c r="E206">
        <v>172</v>
      </c>
      <c r="F206" t="s">
        <v>14</v>
      </c>
      <c r="G206">
        <v>175</v>
      </c>
      <c r="H206" t="s">
        <v>15</v>
      </c>
      <c r="I206">
        <f t="shared" si="18"/>
        <v>24052.818754046853</v>
      </c>
      <c r="J206">
        <v>1.25</v>
      </c>
      <c r="K206">
        <v>40.700000000000003</v>
      </c>
      <c r="L206" t="s">
        <v>15</v>
      </c>
      <c r="M206">
        <v>500</v>
      </c>
      <c r="O206">
        <v>0.67300000000000004</v>
      </c>
      <c r="Q206" s="5">
        <f t="shared" si="15"/>
        <v>1.6596778167826187</v>
      </c>
      <c r="R206" s="2">
        <f>(0.18/1.5*MIN((1+SQRT(200/E206)),2)*(MIN(J206,2)*(K206-8))^(1/3))</f>
        <v>0.82673025294216473</v>
      </c>
      <c r="S206" s="2">
        <f>E206/1.15*IF(F206="k",(G206+4*E206)*PI(),IF(F206="q",4*G206+4*E206*PI(),2*G206+2*H206+4*E206*PI()))</f>
        <v>405500.38880717789</v>
      </c>
      <c r="T206" s="2">
        <f t="shared" si="16"/>
        <v>0.33523943900670433</v>
      </c>
      <c r="U206" s="4">
        <f t="shared" si="17"/>
        <v>2.0075203621449234</v>
      </c>
      <c r="V206" s="4"/>
      <c r="W206" s="4"/>
      <c r="X206" s="3"/>
      <c r="Y206" s="3"/>
      <c r="AB206" s="3"/>
    </row>
    <row r="207" spans="1:28" x14ac:dyDescent="0.45">
      <c r="A207" t="s">
        <v>18</v>
      </c>
      <c r="B207" t="s">
        <v>14</v>
      </c>
      <c r="C207" s="1">
        <v>0.8</v>
      </c>
      <c r="D207">
        <v>200</v>
      </c>
      <c r="E207">
        <v>172</v>
      </c>
      <c r="F207" t="s">
        <v>14</v>
      </c>
      <c r="G207">
        <v>175</v>
      </c>
      <c r="H207" t="s">
        <v>15</v>
      </c>
      <c r="I207">
        <f t="shared" si="18"/>
        <v>24052.818754046853</v>
      </c>
      <c r="J207">
        <v>1.25</v>
      </c>
      <c r="K207">
        <v>36</v>
      </c>
      <c r="L207" t="s">
        <v>15</v>
      </c>
      <c r="M207">
        <v>500</v>
      </c>
      <c r="O207">
        <v>0.66800000000000004</v>
      </c>
      <c r="Q207" s="5">
        <f t="shared" si="15"/>
        <v>1.6473473723785872</v>
      </c>
      <c r="R207" s="2">
        <f>(0.18/1.5*MIN((1+SQRT(200/E207)),2)*(MIN(J207,2)*(K207-8))^(1/3))</f>
        <v>0.78505591444526124</v>
      </c>
      <c r="S207" s="2">
        <f>E207/1.15*IF(F207="k",(G207+4*E207)*PI(),IF(F207="q",4*G207+4*E207*PI(),2*G207+2*H207+4*E207*PI()))</f>
        <v>405500.38880717789</v>
      </c>
      <c r="T207" s="2">
        <f t="shared" si="16"/>
        <v>0.31834047854292802</v>
      </c>
      <c r="U207" s="4">
        <f t="shared" si="17"/>
        <v>2.0983822197462727</v>
      </c>
      <c r="V207" s="4"/>
      <c r="W207" s="4"/>
      <c r="X207" s="3"/>
      <c r="Y207" s="3"/>
      <c r="AB207" s="3"/>
    </row>
    <row r="208" spans="1:28" x14ac:dyDescent="0.45">
      <c r="A208" t="s">
        <v>18</v>
      </c>
      <c r="B208" t="s">
        <v>14</v>
      </c>
      <c r="C208" s="1">
        <v>0.8</v>
      </c>
      <c r="D208">
        <v>285</v>
      </c>
      <c r="E208">
        <v>246</v>
      </c>
      <c r="F208" t="s">
        <v>14</v>
      </c>
      <c r="G208">
        <v>250</v>
      </c>
      <c r="H208" t="s">
        <v>15</v>
      </c>
      <c r="I208">
        <f t="shared" si="18"/>
        <v>49087.385212340516</v>
      </c>
      <c r="J208">
        <v>1.18</v>
      </c>
      <c r="K208">
        <v>32.799999999999997</v>
      </c>
      <c r="L208" t="s">
        <v>15</v>
      </c>
      <c r="M208">
        <v>500</v>
      </c>
      <c r="O208">
        <v>1.06</v>
      </c>
      <c r="Q208" s="5">
        <f t="shared" si="15"/>
        <v>1.2782139886746811</v>
      </c>
      <c r="R208" s="2">
        <f>(0.18/1.5*MIN((1+SQRT(200/E208)),2)*(MIN(J208,2)*(K208-8))^(1/3))</f>
        <v>0.70322485786216626</v>
      </c>
      <c r="S208" s="2">
        <f>E208/1.15*IF(F208="k",(G208+4*E208)*PI(),IF(F208="q",4*G208+4*E208*PI(),2*G208+2*H208+4*E208*PI()))</f>
        <v>829282.11503854953</v>
      </c>
      <c r="T208" s="2">
        <f t="shared" si="16"/>
        <v>0.58317179747562065</v>
      </c>
      <c r="U208" s="4">
        <f t="shared" si="17"/>
        <v>1.8176461972071156</v>
      </c>
      <c r="V208" s="4"/>
      <c r="W208" s="4"/>
      <c r="X208" s="3"/>
      <c r="Y208" s="3"/>
      <c r="AB208" s="3"/>
    </row>
    <row r="209" spans="1:28" x14ac:dyDescent="0.45">
      <c r="A209" t="s">
        <v>20</v>
      </c>
      <c r="B209" t="s">
        <v>20</v>
      </c>
      <c r="C209" s="1">
        <v>2.1</v>
      </c>
      <c r="D209">
        <v>130</v>
      </c>
      <c r="E209">
        <v>107</v>
      </c>
      <c r="F209" t="s">
        <v>17</v>
      </c>
      <c r="G209">
        <v>120</v>
      </c>
      <c r="H209" t="s">
        <v>15</v>
      </c>
      <c r="I209">
        <f t="shared" si="18"/>
        <v>14400</v>
      </c>
      <c r="J209">
        <v>1.0900000000000001</v>
      </c>
      <c r="K209">
        <v>57.1</v>
      </c>
      <c r="L209">
        <v>16</v>
      </c>
      <c r="M209">
        <v>749</v>
      </c>
      <c r="O209">
        <v>0.318</v>
      </c>
      <c r="Q209" s="5">
        <f t="shared" si="15"/>
        <v>1.873152421297319</v>
      </c>
      <c r="R209" s="2">
        <f>(0.18/1.5*MIN((1+SQRT(200/E209)),2)*(MIN(J209,2)*(K209-8))^(1/3))</f>
        <v>0.90444168772802724</v>
      </c>
      <c r="S209" s="2">
        <f>E209/1.15*IF(F209="k",(G209+4*E209)*PI(),IF(F209="q",4*G209+4*E209*PI(),2*G209+2*H209+4*E209*PI()))</f>
        <v>169767.28449025931</v>
      </c>
      <c r="T209" s="2">
        <f t="shared" si="16"/>
        <v>0.15354460930537428</v>
      </c>
      <c r="U209" s="4">
        <f t="shared" si="17"/>
        <v>2.0710593581800825</v>
      </c>
      <c r="V209" s="4"/>
      <c r="W209" s="4"/>
      <c r="X209" s="3"/>
      <c r="Y209" s="3"/>
      <c r="AB209" s="3"/>
    </row>
    <row r="210" spans="1:28" x14ac:dyDescent="0.45">
      <c r="A210" t="s">
        <v>20</v>
      </c>
      <c r="B210" t="s">
        <v>20</v>
      </c>
      <c r="C210" s="1">
        <v>2.1</v>
      </c>
      <c r="D210">
        <v>130</v>
      </c>
      <c r="E210">
        <v>107</v>
      </c>
      <c r="F210" t="s">
        <v>20</v>
      </c>
      <c r="G210">
        <v>120</v>
      </c>
      <c r="H210">
        <v>240</v>
      </c>
      <c r="I210">
        <f t="shared" si="18"/>
        <v>28800</v>
      </c>
      <c r="J210">
        <v>1.0900000000000001</v>
      </c>
      <c r="K210">
        <v>55.2</v>
      </c>
      <c r="L210">
        <v>16</v>
      </c>
      <c r="M210">
        <v>749</v>
      </c>
      <c r="O210">
        <v>0.33100000000000002</v>
      </c>
      <c r="Q210" s="5">
        <f t="shared" si="15"/>
        <v>1.7230813632400614</v>
      </c>
      <c r="R210" s="2">
        <f>(0.18/1.5*MIN((1+SQRT(200/E210)),2)*(MIN(J210,2)*(K210-8))^(1/3))</f>
        <v>0.89262163161174468</v>
      </c>
      <c r="S210" s="2">
        <f>E210/1.15*IF(F210="k",(G210+4*E210)*PI(),IF(F210="q",4*G210+4*E210*PI(),2*G210+2*H210+4*E210*PI()))</f>
        <v>192097.71927286798</v>
      </c>
      <c r="T210" s="2">
        <f t="shared" si="16"/>
        <v>0.17147057960624229</v>
      </c>
      <c r="U210" s="4">
        <f t="shared" si="17"/>
        <v>1.9303603029749725</v>
      </c>
      <c r="V210" s="4"/>
      <c r="W210" s="4"/>
      <c r="X210" s="3"/>
      <c r="Y210" s="3"/>
      <c r="AB210" s="3"/>
    </row>
    <row r="211" spans="1:28" x14ac:dyDescent="0.45">
      <c r="A211" t="s">
        <v>20</v>
      </c>
      <c r="B211" t="s">
        <v>20</v>
      </c>
      <c r="C211" s="1">
        <v>2.1</v>
      </c>
      <c r="D211">
        <v>130</v>
      </c>
      <c r="E211">
        <v>106</v>
      </c>
      <c r="F211" t="s">
        <v>20</v>
      </c>
      <c r="G211">
        <v>120</v>
      </c>
      <c r="H211">
        <v>360</v>
      </c>
      <c r="I211">
        <f t="shared" si="18"/>
        <v>43200</v>
      </c>
      <c r="J211">
        <v>1</v>
      </c>
      <c r="K211">
        <v>52.3</v>
      </c>
      <c r="L211">
        <v>16</v>
      </c>
      <c r="M211">
        <v>749</v>
      </c>
      <c r="O211">
        <v>0.35799999999999998</v>
      </c>
      <c r="Q211" s="5">
        <f t="shared" si="15"/>
        <v>1.6945473262834545</v>
      </c>
      <c r="R211" s="2">
        <f>(0.18/1.5*MIN((1+SQRT(200/E211)),2)*(MIN(J211,2)*(K211-8))^(1/3))</f>
        <v>0.84920488506245884</v>
      </c>
      <c r="S211" s="2">
        <f>E211/1.15*IF(F211="k",(G211+4*E211)*PI(),IF(F211="q",4*G211+4*E211*PI(),2*G211+2*H211+4*E211*PI()))</f>
        <v>211265.86106342581</v>
      </c>
      <c r="T211" s="2">
        <f t="shared" si="16"/>
        <v>0.17940800126198789</v>
      </c>
      <c r="U211" s="4">
        <f t="shared" si="17"/>
        <v>1.995451693802752</v>
      </c>
      <c r="V211" s="4"/>
      <c r="W211" s="4"/>
      <c r="X211" s="3"/>
      <c r="Y211" s="3"/>
      <c r="AB211" s="3"/>
    </row>
    <row r="212" spans="1:28" x14ac:dyDescent="0.45">
      <c r="A212" t="s">
        <v>20</v>
      </c>
      <c r="B212" t="s">
        <v>20</v>
      </c>
      <c r="C212" s="1">
        <v>2.1</v>
      </c>
      <c r="D212">
        <v>130</v>
      </c>
      <c r="E212">
        <v>107</v>
      </c>
      <c r="F212" t="s">
        <v>20</v>
      </c>
      <c r="G212">
        <v>120</v>
      </c>
      <c r="H212">
        <v>480</v>
      </c>
      <c r="I212">
        <f t="shared" si="18"/>
        <v>57600</v>
      </c>
      <c r="J212">
        <v>1.0900000000000001</v>
      </c>
      <c r="K212">
        <v>54.2</v>
      </c>
      <c r="L212">
        <v>16</v>
      </c>
      <c r="M212">
        <v>749</v>
      </c>
      <c r="O212">
        <v>0.40400000000000003</v>
      </c>
      <c r="Q212" s="5">
        <f t="shared" si="15"/>
        <v>1.7063794896846922</v>
      </c>
      <c r="R212" s="2">
        <f>(0.18/1.5*MIN((1+SQRT(200/E212)),2)*(MIN(J212,2)*(K212-8))^(1/3))</f>
        <v>0.88627275647896397</v>
      </c>
      <c r="S212" s="2">
        <f>E212/1.15*IF(F212="k",(G212+4*E212)*PI(),IF(F212="q",4*G212+4*E212*PI(),2*G212+2*H212+4*E212*PI()))</f>
        <v>236758.58883808539</v>
      </c>
      <c r="T212" s="2">
        <f t="shared" si="16"/>
        <v>0.2098326871495996</v>
      </c>
      <c r="U212" s="4">
        <f t="shared" si="17"/>
        <v>1.9253434986131088</v>
      </c>
      <c r="V212" s="4"/>
      <c r="W212" s="4"/>
      <c r="X212" s="3"/>
      <c r="Y212" s="3"/>
      <c r="AB212" s="3"/>
    </row>
    <row r="213" spans="1:28" x14ac:dyDescent="0.45">
      <c r="A213" t="s">
        <v>20</v>
      </c>
      <c r="B213" t="s">
        <v>20</v>
      </c>
      <c r="C213" s="1">
        <v>2.1</v>
      </c>
      <c r="D213">
        <v>130</v>
      </c>
      <c r="E213">
        <v>109</v>
      </c>
      <c r="F213" t="s">
        <v>20</v>
      </c>
      <c r="G213">
        <v>120</v>
      </c>
      <c r="H213">
        <v>600</v>
      </c>
      <c r="I213">
        <f t="shared" si="18"/>
        <v>72000</v>
      </c>
      <c r="J213">
        <v>1.07</v>
      </c>
      <c r="K213">
        <v>61</v>
      </c>
      <c r="L213">
        <v>16</v>
      </c>
      <c r="M213">
        <v>749</v>
      </c>
      <c r="O213">
        <v>0.44600000000000001</v>
      </c>
      <c r="Q213" s="5">
        <f t="shared" si="15"/>
        <v>1.6747150877458281</v>
      </c>
      <c r="R213" s="2">
        <f>(0.18/1.5*MIN((1+SQRT(200/E213)),2)*(MIN(J213,2)*(K213-8))^(1/3))</f>
        <v>0.92207120001378773</v>
      </c>
      <c r="S213" s="2">
        <f>E213/1.15*IF(F213="k",(G213+4*E213)*PI(),IF(F213="q",4*G213+4*E213*PI(),2*G213+2*H213+4*E213*PI()))</f>
        <v>266313.95588626206</v>
      </c>
      <c r="T213" s="2">
        <f t="shared" si="16"/>
        <v>0.24556042888446458</v>
      </c>
      <c r="U213" s="4">
        <f t="shared" si="17"/>
        <v>1.8162535471455852</v>
      </c>
      <c r="V213" s="4"/>
      <c r="W213" s="4"/>
      <c r="X213" s="3"/>
      <c r="Y213" s="3"/>
      <c r="AB213" s="3"/>
    </row>
    <row r="214" spans="1:28" x14ac:dyDescent="0.45">
      <c r="A214" t="s">
        <v>18</v>
      </c>
      <c r="B214" t="s">
        <v>14</v>
      </c>
      <c r="C214" s="1">
        <v>1.831</v>
      </c>
      <c r="D214">
        <v>155</v>
      </c>
      <c r="E214">
        <v>120</v>
      </c>
      <c r="F214" t="s">
        <v>17</v>
      </c>
      <c r="G214">
        <v>250</v>
      </c>
      <c r="H214" t="s">
        <v>15</v>
      </c>
      <c r="I214">
        <f t="shared" si="18"/>
        <v>62500</v>
      </c>
      <c r="J214">
        <v>0.87</v>
      </c>
      <c r="K214">
        <v>35.6</v>
      </c>
      <c r="L214" t="s">
        <v>15</v>
      </c>
      <c r="M214">
        <v>430</v>
      </c>
      <c r="N214">
        <v>192</v>
      </c>
      <c r="O214">
        <v>0.36499999999999999</v>
      </c>
      <c r="Q214" s="5">
        <f t="shared" si="15"/>
        <v>1.3947233716089968</v>
      </c>
      <c r="R214" s="2">
        <f>(0.18/1.5*MIN((1+SQRT(200/E214)),2)*(MIN(J214,2)*(K214-8))^(1/3))</f>
        <v>0.69239515448852618</v>
      </c>
      <c r="S214" s="2">
        <f>E214/1.15*IF(F214="k",(G214+4*E214)*PI(),IF(F214="q",4*G214+4*E214*PI(),2*G214+2*H214+4*E214*PI()))</f>
        <v>261700.64073632355</v>
      </c>
      <c r="T214" s="2">
        <f t="shared" si="16"/>
        <v>0.18120025557237301</v>
      </c>
      <c r="U214" s="4">
        <f t="shared" si="17"/>
        <v>2.0143459447506999</v>
      </c>
      <c r="V214" s="4"/>
      <c r="W214" s="4"/>
      <c r="X214" s="3"/>
      <c r="Y214" s="3"/>
      <c r="AB214" s="3"/>
    </row>
    <row r="215" spans="1:28" x14ac:dyDescent="0.45">
      <c r="A215" t="s">
        <v>18</v>
      </c>
      <c r="B215" t="s">
        <v>17</v>
      </c>
      <c r="C215" s="1">
        <v>0.72499999999999998</v>
      </c>
      <c r="D215">
        <v>135</v>
      </c>
      <c r="E215">
        <v>100</v>
      </c>
      <c r="F215" t="s">
        <v>17</v>
      </c>
      <c r="G215">
        <v>200</v>
      </c>
      <c r="H215" t="s">
        <v>15</v>
      </c>
      <c r="I215">
        <f t="shared" si="18"/>
        <v>40000</v>
      </c>
      <c r="J215">
        <v>0.98</v>
      </c>
      <c r="K215">
        <v>39.4</v>
      </c>
      <c r="L215">
        <v>20</v>
      </c>
      <c r="M215">
        <v>488</v>
      </c>
      <c r="O215">
        <v>0.33</v>
      </c>
      <c r="Q215" s="5">
        <f t="shared" si="15"/>
        <v>1.8452453625193255</v>
      </c>
      <c r="R215" s="2">
        <f>(0.18/1.5*MIN((1+SQRT(200/E215)),2)*(MIN(J215,2)*(K215-8))^(1/3))</f>
        <v>0.75207845869177936</v>
      </c>
      <c r="S215" s="2">
        <f>E215/1.15*IF(F215="k",(G215+4*E215)*PI(),IF(F215="q",4*G215+4*E215*PI(),2*G215+2*H215+4*E215*PI()))</f>
        <v>178838.00534225372</v>
      </c>
      <c r="T215" s="2">
        <f t="shared" si="16"/>
        <v>0.13450021141331439</v>
      </c>
      <c r="U215" s="4">
        <f t="shared" si="17"/>
        <v>2.4535277419447445</v>
      </c>
      <c r="V215" s="4"/>
      <c r="W215" s="4"/>
      <c r="X215" s="3"/>
      <c r="Y215" s="3"/>
      <c r="AB215" s="3"/>
    </row>
    <row r="216" spans="1:28" x14ac:dyDescent="0.45">
      <c r="A216" t="s">
        <v>18</v>
      </c>
      <c r="B216" t="s">
        <v>17</v>
      </c>
      <c r="C216" s="1">
        <v>0.99</v>
      </c>
      <c r="D216">
        <v>190</v>
      </c>
      <c r="E216">
        <v>150</v>
      </c>
      <c r="F216" t="s">
        <v>17</v>
      </c>
      <c r="G216">
        <v>200</v>
      </c>
      <c r="H216" t="s">
        <v>15</v>
      </c>
      <c r="I216">
        <f t="shared" si="18"/>
        <v>40000</v>
      </c>
      <c r="J216">
        <v>0.9</v>
      </c>
      <c r="K216">
        <v>39.4</v>
      </c>
      <c r="L216">
        <v>20</v>
      </c>
      <c r="M216">
        <v>465</v>
      </c>
      <c r="O216">
        <v>0.58299999999999996</v>
      </c>
      <c r="Q216" s="5">
        <f t="shared" si="15"/>
        <v>1.6647078557754067</v>
      </c>
      <c r="R216" s="2">
        <f>(0.18/1.5*MIN((1+SQRT(200/E216)),2)*(MIN(J216,2)*(K216-8))^(1/3))</f>
        <v>0.73103015876615662</v>
      </c>
      <c r="S216" s="2">
        <f>E216/1.15*IF(F216="k",(G216+4*E216)*PI(),IF(F216="q",4*G216+4*E216*PI(),2*G216+2*H216+4*E216*PI()))</f>
        <v>350211.59897659253</v>
      </c>
      <c r="T216" s="2">
        <f t="shared" si="16"/>
        <v>0.25601524080160803</v>
      </c>
      <c r="U216" s="4">
        <f t="shared" si="17"/>
        <v>2.2772081778200843</v>
      </c>
      <c r="V216" s="4"/>
      <c r="W216" s="4"/>
      <c r="X216" s="3"/>
      <c r="Y216" s="3"/>
      <c r="AB216" s="3"/>
    </row>
    <row r="217" spans="1:28" x14ac:dyDescent="0.45">
      <c r="A217" t="s">
        <v>18</v>
      </c>
      <c r="B217" t="s">
        <v>17</v>
      </c>
      <c r="C217" s="1">
        <v>1.25</v>
      </c>
      <c r="D217">
        <v>240</v>
      </c>
      <c r="E217">
        <v>200</v>
      </c>
      <c r="F217" t="s">
        <v>17</v>
      </c>
      <c r="G217">
        <v>200</v>
      </c>
      <c r="H217" t="s">
        <v>15</v>
      </c>
      <c r="I217">
        <f t="shared" si="18"/>
        <v>40000</v>
      </c>
      <c r="J217">
        <v>0.83</v>
      </c>
      <c r="K217">
        <v>39.4</v>
      </c>
      <c r="L217">
        <v>20</v>
      </c>
      <c r="M217">
        <v>465</v>
      </c>
      <c r="O217">
        <v>0.90400000000000003</v>
      </c>
      <c r="Q217" s="5">
        <f t="shared" si="15"/>
        <v>1.5688409130164422</v>
      </c>
      <c r="R217" s="2">
        <f>(0.18/1.5*MIN((1+SQRT(200/E217)),2)*(MIN(J217,2)*(K217-8))^(1/3))</f>
        <v>0.71156376088382167</v>
      </c>
      <c r="S217" s="2">
        <f>E217/1.15*IF(F217="k",(G217+4*E217)*PI(),IF(F217="q",4*G217+4*E217*PI(),2*G217+2*H217+4*E217*PI()))</f>
        <v>576221.58658640599</v>
      </c>
      <c r="T217" s="2">
        <f t="shared" si="16"/>
        <v>0.41001839925386574</v>
      </c>
      <c r="U217" s="4">
        <f t="shared" si="17"/>
        <v>2.2047791066085356</v>
      </c>
      <c r="V217" s="4"/>
      <c r="W217" s="4"/>
      <c r="X217" s="3"/>
      <c r="Y217" s="3"/>
      <c r="AB217" s="3"/>
    </row>
    <row r="218" spans="1:28" x14ac:dyDescent="0.45">
      <c r="A218" t="s">
        <v>18</v>
      </c>
      <c r="B218" t="s">
        <v>17</v>
      </c>
      <c r="C218" s="1">
        <v>1.7749999999999999</v>
      </c>
      <c r="D218">
        <v>345</v>
      </c>
      <c r="E218">
        <v>300</v>
      </c>
      <c r="F218" t="s">
        <v>17</v>
      </c>
      <c r="G218">
        <v>200</v>
      </c>
      <c r="H218" t="s">
        <v>15</v>
      </c>
      <c r="I218">
        <f t="shared" si="18"/>
        <v>40000</v>
      </c>
      <c r="J218">
        <v>0.76</v>
      </c>
      <c r="K218">
        <v>39.4</v>
      </c>
      <c r="L218">
        <v>20</v>
      </c>
      <c r="M218">
        <v>468</v>
      </c>
      <c r="O218">
        <v>1.381</v>
      </c>
      <c r="Q218" s="5">
        <f t="shared" si="15"/>
        <v>1.1584105510652809</v>
      </c>
      <c r="R218" s="2">
        <f>(0.18/1.5*MIN((1+SQRT(200/E218)),2)*(MIN(J218,2)*(K218-8))^(1/3))</f>
        <v>0.62757202730347172</v>
      </c>
      <c r="S218" s="2">
        <f>E218/1.15*IF(F218="k",(G218+4*E218)*PI(),IF(F218="q",4*G218+4*E218*PI(),2*G218+2*H218+4*E218*PI()))</f>
        <v>1192150.743732457</v>
      </c>
      <c r="T218" s="2">
        <f t="shared" si="16"/>
        <v>0.74816045909551965</v>
      </c>
      <c r="U218" s="4">
        <f t="shared" si="17"/>
        <v>1.8458607150524164</v>
      </c>
      <c r="V218" s="4"/>
      <c r="W218" s="4"/>
      <c r="X218" s="3"/>
      <c r="Y218" s="3"/>
      <c r="AB218" s="3"/>
    </row>
    <row r="219" spans="1:28" x14ac:dyDescent="0.45">
      <c r="A219" t="s">
        <v>18</v>
      </c>
      <c r="B219" t="s">
        <v>17</v>
      </c>
      <c r="C219" s="1">
        <v>1.7749999999999999</v>
      </c>
      <c r="D219">
        <v>450</v>
      </c>
      <c r="E219">
        <v>400</v>
      </c>
      <c r="F219" t="s">
        <v>17</v>
      </c>
      <c r="G219">
        <v>300</v>
      </c>
      <c r="H219" t="s">
        <v>15</v>
      </c>
      <c r="I219">
        <f t="shared" si="18"/>
        <v>90000</v>
      </c>
      <c r="J219">
        <v>0.76</v>
      </c>
      <c r="K219">
        <v>39.4</v>
      </c>
      <c r="L219">
        <v>20</v>
      </c>
      <c r="M219">
        <v>433</v>
      </c>
      <c r="O219">
        <v>2.2240000000000002</v>
      </c>
      <c r="Q219" s="5">
        <f t="shared" si="15"/>
        <v>1.0268931914838686</v>
      </c>
      <c r="R219" s="2">
        <f>(0.18/1.5*MIN((1+SQRT(200/E219)),2)*(MIN(J219,2)*(K219-8))^(1/3))</f>
        <v>0.58977951004212292</v>
      </c>
      <c r="S219" s="2">
        <f>E219/1.15*IF(F219="k",(G219+4*E219)*PI(),IF(F219="q",4*G219+4*E219*PI(),2*G219+2*H219+4*E219*PI()))</f>
        <v>2165755.9115630155</v>
      </c>
      <c r="T219" s="2">
        <f t="shared" si="16"/>
        <v>1.2773184603924665</v>
      </c>
      <c r="U219" s="4">
        <f t="shared" si="17"/>
        <v>1.7411476221181819</v>
      </c>
      <c r="V219" s="4"/>
      <c r="W219" s="4"/>
      <c r="X219" s="3"/>
      <c r="Y219" s="3"/>
      <c r="AB219" s="3"/>
    </row>
    <row r="220" spans="1:28" x14ac:dyDescent="0.45">
      <c r="A220" t="s">
        <v>18</v>
      </c>
      <c r="B220" t="s">
        <v>17</v>
      </c>
      <c r="C220" s="1">
        <v>1.7749999999999999</v>
      </c>
      <c r="D220">
        <v>550</v>
      </c>
      <c r="E220">
        <v>500</v>
      </c>
      <c r="F220" t="s">
        <v>17</v>
      </c>
      <c r="G220">
        <v>300</v>
      </c>
      <c r="H220" t="s">
        <v>15</v>
      </c>
      <c r="I220">
        <f t="shared" si="18"/>
        <v>90000</v>
      </c>
      <c r="J220">
        <v>0.76</v>
      </c>
      <c r="K220">
        <v>39.4</v>
      </c>
      <c r="L220">
        <v>20</v>
      </c>
      <c r="M220">
        <v>433</v>
      </c>
      <c r="O220">
        <v>2.681</v>
      </c>
      <c r="Q220" s="5">
        <f t="shared" si="15"/>
        <v>0.82402075411441067</v>
      </c>
      <c r="R220" s="2">
        <f>(0.18/1.5*MIN((1+SQRT(200/E220)),2)*(MIN(J220,2)*(K220-8))^(1/3))</f>
        <v>0.56398863530913712</v>
      </c>
      <c r="S220" s="2">
        <f>E220/1.15*IF(F220="k",(G220+4*E220)*PI(),IF(F220="q",4*G220+4*E220*PI(),2*G220+2*H220+4*E220*PI()))</f>
        <v>3253558.8292085156</v>
      </c>
      <c r="T220" s="2">
        <f t="shared" si="16"/>
        <v>1.8349702039833045</v>
      </c>
      <c r="U220" s="4">
        <f t="shared" si="17"/>
        <v>1.461059146453799</v>
      </c>
      <c r="V220" s="4"/>
      <c r="W220" s="4"/>
      <c r="X220" s="3"/>
      <c r="Y220" s="3"/>
      <c r="AB220" s="3"/>
    </row>
    <row r="221" spans="1:28" x14ac:dyDescent="0.45">
      <c r="A221" t="s">
        <v>18</v>
      </c>
      <c r="B221" t="s">
        <v>14</v>
      </c>
      <c r="C221" s="1">
        <v>2.1360000000000001</v>
      </c>
      <c r="D221">
        <v>150</v>
      </c>
      <c r="E221">
        <v>109</v>
      </c>
      <c r="F221" t="s">
        <v>17</v>
      </c>
      <c r="G221">
        <v>225</v>
      </c>
      <c r="H221" t="s">
        <v>15</v>
      </c>
      <c r="I221">
        <f t="shared" si="18"/>
        <v>50625</v>
      </c>
      <c r="J221">
        <v>1.1000000000000001</v>
      </c>
      <c r="K221">
        <v>30</v>
      </c>
      <c r="L221">
        <v>20</v>
      </c>
      <c r="M221">
        <v>434</v>
      </c>
      <c r="N221">
        <v>181</v>
      </c>
      <c r="O221">
        <v>0.30599999999999999</v>
      </c>
      <c r="Q221" s="5">
        <f t="shared" si="15"/>
        <v>1.4223868534085784</v>
      </c>
      <c r="R221" s="2">
        <f>(0.18/1.5*MIN((1+SQRT(200/E221)),2)*(MIN(J221,2)*(K221-8))^(1/3))</f>
        <v>0.69419747610293381</v>
      </c>
      <c r="S221" s="2">
        <f>E221/1.15*IF(F221="k",(G221+4*E221)*PI(),IF(F221="q",4*G221+4*E221*PI(),2*G221+2*H221+4*E221*PI()))</f>
        <v>215131.34719060987</v>
      </c>
      <c r="T221" s="2">
        <f t="shared" si="16"/>
        <v>0.14934363825034536</v>
      </c>
      <c r="U221" s="4">
        <f t="shared" si="17"/>
        <v>2.0489657516381845</v>
      </c>
      <c r="V221" s="4"/>
      <c r="W221" s="4"/>
      <c r="X221" s="3"/>
      <c r="Y221" s="3"/>
      <c r="AB221" s="3"/>
    </row>
    <row r="222" spans="1:28" x14ac:dyDescent="0.45">
      <c r="A222" t="s">
        <v>18</v>
      </c>
      <c r="B222" t="s">
        <v>14</v>
      </c>
      <c r="C222" s="1">
        <v>2.1360000000000001</v>
      </c>
      <c r="D222">
        <v>150</v>
      </c>
      <c r="E222">
        <v>109</v>
      </c>
      <c r="F222" t="s">
        <v>17</v>
      </c>
      <c r="G222">
        <v>225</v>
      </c>
      <c r="H222" t="s">
        <v>15</v>
      </c>
      <c r="I222">
        <f t="shared" si="18"/>
        <v>50625</v>
      </c>
      <c r="J222">
        <v>1.2</v>
      </c>
      <c r="K222">
        <v>37.200000000000003</v>
      </c>
      <c r="L222">
        <v>20</v>
      </c>
      <c r="M222">
        <v>445</v>
      </c>
      <c r="N222">
        <v>193</v>
      </c>
      <c r="O222">
        <v>0.30099999999999999</v>
      </c>
      <c r="Q222" s="5">
        <f t="shared" si="15"/>
        <v>1.3991452381568044</v>
      </c>
      <c r="R222" s="2">
        <f>(0.18/1.5*MIN((1+SQRT(200/E222)),2)*(MIN(J222,2)*(K222-8))^(1/3))</f>
        <v>0.78535486950631517</v>
      </c>
      <c r="S222" s="2">
        <f>E222/1.15*IF(F222="k",(G222+4*E222)*PI(),IF(F222="q",4*G222+4*E222*PI(),2*G222+2*H222+4*E222*PI()))</f>
        <v>215131.34719060987</v>
      </c>
      <c r="T222" s="2">
        <f t="shared" si="16"/>
        <v>0.1689544510995992</v>
      </c>
      <c r="U222" s="4">
        <f t="shared" si="17"/>
        <v>1.7815452510485179</v>
      </c>
      <c r="V222" s="4"/>
      <c r="W222" s="4"/>
      <c r="X222" s="3"/>
      <c r="Y222" s="3"/>
      <c r="AB222" s="3"/>
    </row>
    <row r="223" spans="1:28" x14ac:dyDescent="0.45">
      <c r="A223" t="s">
        <v>18</v>
      </c>
      <c r="B223" t="s">
        <v>14</v>
      </c>
      <c r="C223" s="1">
        <v>2.1360000000000001</v>
      </c>
      <c r="D223">
        <v>150</v>
      </c>
      <c r="E223">
        <v>109</v>
      </c>
      <c r="F223" t="s">
        <v>17</v>
      </c>
      <c r="G223">
        <v>225</v>
      </c>
      <c r="H223" t="s">
        <v>15</v>
      </c>
      <c r="I223">
        <f t="shared" si="18"/>
        <v>50625</v>
      </c>
      <c r="J223">
        <v>1.2</v>
      </c>
      <c r="K223">
        <v>57.1</v>
      </c>
      <c r="L223">
        <v>20</v>
      </c>
      <c r="M223">
        <v>445</v>
      </c>
      <c r="N223">
        <v>193</v>
      </c>
      <c r="O223">
        <v>0.36299999999999999</v>
      </c>
      <c r="Q223" s="5">
        <f t="shared" si="15"/>
        <v>1.687341267278804</v>
      </c>
      <c r="R223" s="2">
        <f>(0.18/1.5*MIN((1+SQRT(200/E223)),2)*(MIN(J223,2)*(K223-8))^(1/3))</f>
        <v>0.93389665766298624</v>
      </c>
      <c r="S223" s="2">
        <f>E223/1.15*IF(F223="k",(G223+4*E223)*PI(),IF(F223="q",4*G223+4*E223*PI(),2*G223+2*H223+4*E223*PI()))</f>
        <v>215131.34719060987</v>
      </c>
      <c r="T223" s="2">
        <f t="shared" si="16"/>
        <v>0.20091044609984601</v>
      </c>
      <c r="U223" s="4">
        <f t="shared" si="17"/>
        <v>1.8067751430883823</v>
      </c>
      <c r="V223" s="4"/>
      <c r="W223" s="4"/>
      <c r="X223" s="3"/>
      <c r="Y223" s="3"/>
      <c r="AB223" s="3"/>
    </row>
    <row r="224" spans="1:28" x14ac:dyDescent="0.45">
      <c r="A224" t="s">
        <v>18</v>
      </c>
      <c r="B224" t="s">
        <v>14</v>
      </c>
      <c r="C224" s="1">
        <v>2.1360000000000001</v>
      </c>
      <c r="D224">
        <v>150</v>
      </c>
      <c r="E224">
        <v>109</v>
      </c>
      <c r="F224" t="s">
        <v>17</v>
      </c>
      <c r="G224">
        <v>225</v>
      </c>
      <c r="H224" t="s">
        <v>15</v>
      </c>
      <c r="I224">
        <f t="shared" si="18"/>
        <v>50625</v>
      </c>
      <c r="J224">
        <v>1.2</v>
      </c>
      <c r="K224">
        <v>67.099999999999994</v>
      </c>
      <c r="L224">
        <v>10</v>
      </c>
      <c r="M224">
        <v>445</v>
      </c>
      <c r="N224">
        <v>193</v>
      </c>
      <c r="O224">
        <v>0.443</v>
      </c>
      <c r="Q224" s="5">
        <f t="shared" si="15"/>
        <v>2.0592071113071904</v>
      </c>
      <c r="R224" s="2">
        <f>(0.18/1.5*MIN((1+SQRT(200/E224)),2)*(MIN(J224,2)*(K224-8))^(1/3))</f>
        <v>0.99342286277209524</v>
      </c>
      <c r="S224" s="2">
        <f>E224/1.15*IF(F224="k",(G224+4*E224)*PI(),IF(F224="q",4*G224+4*E224*PI(),2*G224+2*H224+4*E224*PI()))</f>
        <v>215131.34719060987</v>
      </c>
      <c r="T224" s="2">
        <f t="shared" si="16"/>
        <v>0.21371639879811319</v>
      </c>
      <c r="U224" s="4">
        <f t="shared" si="17"/>
        <v>2.0728404675135819</v>
      </c>
      <c r="V224" s="4"/>
      <c r="W224" s="4"/>
      <c r="X224" s="3"/>
      <c r="Y224" s="3"/>
      <c r="AB224" s="3"/>
    </row>
    <row r="225" spans="1:28" x14ac:dyDescent="0.45">
      <c r="A225" t="s">
        <v>18</v>
      </c>
      <c r="B225" t="s">
        <v>17</v>
      </c>
      <c r="C225" s="1">
        <v>1.57</v>
      </c>
      <c r="D225">
        <v>197</v>
      </c>
      <c r="E225">
        <v>172</v>
      </c>
      <c r="F225" t="s">
        <v>14</v>
      </c>
      <c r="G225">
        <v>202</v>
      </c>
      <c r="H225" t="s">
        <v>15</v>
      </c>
      <c r="I225">
        <f t="shared" si="18"/>
        <v>32047.386659269479</v>
      </c>
      <c r="J225">
        <v>0.46</v>
      </c>
      <c r="K225">
        <v>25.8</v>
      </c>
      <c r="L225">
        <v>16</v>
      </c>
      <c r="M225">
        <v>621</v>
      </c>
      <c r="N225">
        <v>205</v>
      </c>
      <c r="O225">
        <v>0.503</v>
      </c>
      <c r="Q225" s="5">
        <f t="shared" si="15"/>
        <v>1.2028112990790025</v>
      </c>
      <c r="R225" s="2">
        <f>(0.18/1.5*MIN((1+SQRT(200/E225)),2)*(MIN(J225,2)*(K225-8))^(1/3))</f>
        <v>0.48373092527395534</v>
      </c>
      <c r="S225" s="2">
        <f>E225/1.15*IF(F225="k",(G225+4*E225)*PI(),IF(F225="q",4*G225+4*E225*PI(),2*G225+2*H225+4*E225*PI()))</f>
        <v>418186.95948828309</v>
      </c>
      <c r="T225" s="2">
        <f t="shared" si="16"/>
        <v>0.20228996485076925</v>
      </c>
      <c r="U225" s="4">
        <f t="shared" si="17"/>
        <v>2.4865296722507551</v>
      </c>
      <c r="V225" s="4"/>
      <c r="W225" s="4"/>
      <c r="X225" s="3"/>
      <c r="Y225" s="3"/>
      <c r="AB225" s="3"/>
    </row>
    <row r="226" spans="1:28" x14ac:dyDescent="0.45">
      <c r="A226" t="s">
        <v>18</v>
      </c>
      <c r="B226" t="s">
        <v>17</v>
      </c>
      <c r="C226" s="1">
        <v>1.57</v>
      </c>
      <c r="D226">
        <v>201</v>
      </c>
      <c r="E226">
        <v>176</v>
      </c>
      <c r="F226" t="s">
        <v>14</v>
      </c>
      <c r="G226">
        <v>202</v>
      </c>
      <c r="H226" t="s">
        <v>15</v>
      </c>
      <c r="I226">
        <f t="shared" si="18"/>
        <v>32047.386659269479</v>
      </c>
      <c r="J226">
        <v>0.45</v>
      </c>
      <c r="K226">
        <v>25.8</v>
      </c>
      <c r="L226">
        <v>16</v>
      </c>
      <c r="M226">
        <v>621</v>
      </c>
      <c r="N226">
        <v>205</v>
      </c>
      <c r="O226">
        <v>0.53700000000000003</v>
      </c>
      <c r="Q226" s="5">
        <f t="shared" si="15"/>
        <v>1.2327681003712618</v>
      </c>
      <c r="R226" s="2">
        <f>(0.18/1.5*MIN((1+SQRT(200/E226)),2)*(MIN(J226,2)*(K226-8))^(1/3))</f>
        <v>0.48019991672448881</v>
      </c>
      <c r="S226" s="2">
        <f>E226/1.15*IF(F226="k",(G226+4*E226)*PI(),IF(F226="q",4*G226+4*E226*PI(),2*G226+2*H226+4*E226*PI()))</f>
        <v>435605.04188766447</v>
      </c>
      <c r="T226" s="2">
        <f t="shared" si="16"/>
        <v>0.20917750483922393</v>
      </c>
      <c r="U226" s="4">
        <f t="shared" si="17"/>
        <v>2.567197655468469</v>
      </c>
      <c r="V226" s="4"/>
      <c r="W226" s="4"/>
      <c r="X226" s="3"/>
      <c r="Y226" s="3"/>
      <c r="AB226" s="3"/>
    </row>
    <row r="227" spans="1:28" x14ac:dyDescent="0.45">
      <c r="A227" t="s">
        <v>18</v>
      </c>
      <c r="B227" t="s">
        <v>17</v>
      </c>
      <c r="C227" s="1">
        <v>1.57</v>
      </c>
      <c r="D227">
        <v>198</v>
      </c>
      <c r="E227">
        <v>173</v>
      </c>
      <c r="F227" t="s">
        <v>14</v>
      </c>
      <c r="G227">
        <v>201</v>
      </c>
      <c r="H227" t="s">
        <v>15</v>
      </c>
      <c r="I227">
        <f t="shared" si="18"/>
        <v>31730.871199420308</v>
      </c>
      <c r="J227">
        <v>0.45</v>
      </c>
      <c r="K227">
        <v>25.8</v>
      </c>
      <c r="L227">
        <v>16</v>
      </c>
      <c r="M227">
        <v>621</v>
      </c>
      <c r="N227">
        <v>205</v>
      </c>
      <c r="O227">
        <v>0.53</v>
      </c>
      <c r="Q227" s="5">
        <f t="shared" si="15"/>
        <v>1.2558167612517424</v>
      </c>
      <c r="R227" s="2">
        <f>(0.18/1.5*MIN((1+SQRT(200/E227)),2)*(MIN(J227,2)*(K227-8))^(1/3))</f>
        <v>0.48019991672448881</v>
      </c>
      <c r="S227" s="2">
        <f>E227/1.15*IF(F227="k",(G227+4*E227)*PI(),IF(F227="q",4*G227+4*E227*PI(),2*G227+2*H227+4*E227*PI()))</f>
        <v>422036.09344385524</v>
      </c>
      <c r="T227" s="2">
        <f t="shared" si="16"/>
        <v>0.20266169692646785</v>
      </c>
      <c r="U227" s="4">
        <f t="shared" si="17"/>
        <v>2.6151957081080841</v>
      </c>
      <c r="V227" s="4"/>
      <c r="W227" s="4"/>
      <c r="X227" s="3"/>
      <c r="Y227" s="3"/>
      <c r="AB227" s="3"/>
    </row>
    <row r="228" spans="1:28" x14ac:dyDescent="0.45">
      <c r="A228" t="s">
        <v>18</v>
      </c>
      <c r="B228" t="s">
        <v>17</v>
      </c>
      <c r="C228" s="1">
        <v>1.77</v>
      </c>
      <c r="D228">
        <v>197</v>
      </c>
      <c r="E228">
        <v>170</v>
      </c>
      <c r="F228" t="s">
        <v>14</v>
      </c>
      <c r="G228">
        <v>402</v>
      </c>
      <c r="H228" t="s">
        <v>15</v>
      </c>
      <c r="I228">
        <f t="shared" si="18"/>
        <v>126923.48479768123</v>
      </c>
      <c r="J228">
        <v>0.67</v>
      </c>
      <c r="K228">
        <v>25.8</v>
      </c>
      <c r="L228">
        <v>16</v>
      </c>
      <c r="M228">
        <v>612</v>
      </c>
      <c r="N228">
        <v>195</v>
      </c>
      <c r="O228">
        <v>0.68600000000000005</v>
      </c>
      <c r="Q228" s="5">
        <f t="shared" si="15"/>
        <v>1.365198810538178</v>
      </c>
      <c r="R228" s="2">
        <f>(0.18/1.5*MIN((1+SQRT(200/E228)),2)*(MIN(J228,2)*(K228-8))^(1/3))</f>
        <v>0.5483310554028934</v>
      </c>
      <c r="S228" s="2">
        <f>E228/1.15*IF(F228="k",(G228+4*E228)*PI(),IF(F228="q",4*G228+4*E228*PI(),2*G228+2*H228+4*E228*PI()))</f>
        <v>502490.91539244051</v>
      </c>
      <c r="T228" s="2">
        <f t="shared" si="16"/>
        <v>0.27553137396750288</v>
      </c>
      <c r="U228" s="4">
        <f t="shared" si="17"/>
        <v>2.4897346175935278</v>
      </c>
      <c r="V228" s="4"/>
      <c r="W228" s="4"/>
      <c r="X228" s="3"/>
      <c r="Y228" s="3"/>
      <c r="AB228" s="3"/>
    </row>
    <row r="229" spans="1:28" x14ac:dyDescent="0.45">
      <c r="A229" t="s">
        <v>18</v>
      </c>
      <c r="B229" t="s">
        <v>17</v>
      </c>
      <c r="C229" s="1">
        <v>1.77</v>
      </c>
      <c r="D229">
        <v>199</v>
      </c>
      <c r="E229">
        <v>172</v>
      </c>
      <c r="F229" t="s">
        <v>14</v>
      </c>
      <c r="G229">
        <v>399</v>
      </c>
      <c r="H229" t="s">
        <v>15</v>
      </c>
      <c r="I229">
        <f t="shared" si="18"/>
        <v>125036.17301103716</v>
      </c>
      <c r="J229">
        <v>0.66</v>
      </c>
      <c r="K229">
        <v>25.8</v>
      </c>
      <c r="L229">
        <v>16</v>
      </c>
      <c r="M229">
        <v>612</v>
      </c>
      <c r="N229">
        <v>195</v>
      </c>
      <c r="O229">
        <v>0.69599999999999995</v>
      </c>
      <c r="Q229" s="5">
        <f t="shared" si="15"/>
        <v>1.3626967378827262</v>
      </c>
      <c r="R229" s="2">
        <f>(0.18/1.5*MIN((1+SQRT(200/E229)),2)*(MIN(J229,2)*(K229-8))^(1/3))</f>
        <v>0.54558935431566546</v>
      </c>
      <c r="S229" s="2">
        <f>E229/1.15*IF(F229="k",(G229+4*E229)*PI(),IF(F229="q",4*G229+4*E229*PI(),2*G229+2*H229+4*E229*PI()))</f>
        <v>510751.93816153234</v>
      </c>
      <c r="T229" s="2">
        <f t="shared" si="16"/>
        <v>0.27866082015702515</v>
      </c>
      <c r="U229" s="4">
        <f t="shared" si="17"/>
        <v>2.4976600571540861</v>
      </c>
      <c r="V229" s="4"/>
      <c r="W229" s="4"/>
      <c r="X229" s="3"/>
      <c r="Y229" s="3"/>
      <c r="AB229" s="3"/>
    </row>
    <row r="230" spans="1:28" x14ac:dyDescent="0.45">
      <c r="A230" t="s">
        <v>18</v>
      </c>
      <c r="B230" t="s">
        <v>17</v>
      </c>
      <c r="C230" s="1">
        <v>1.77</v>
      </c>
      <c r="D230">
        <v>202</v>
      </c>
      <c r="E230">
        <v>175</v>
      </c>
      <c r="F230" t="s">
        <v>14</v>
      </c>
      <c r="G230">
        <v>406</v>
      </c>
      <c r="H230" t="s">
        <v>15</v>
      </c>
      <c r="I230">
        <f t="shared" si="18"/>
        <v>129461.89166178179</v>
      </c>
      <c r="J230">
        <v>0.65</v>
      </c>
      <c r="K230">
        <v>25.8</v>
      </c>
      <c r="L230">
        <v>16</v>
      </c>
      <c r="M230">
        <v>612</v>
      </c>
      <c r="N230">
        <v>195</v>
      </c>
      <c r="O230">
        <v>0.79900000000000004</v>
      </c>
      <c r="Q230" s="5">
        <f t="shared" ref="Q230:Q293" si="19">O230/S230*10^6</f>
        <v>1.5111291083439735</v>
      </c>
      <c r="R230" s="2">
        <f>(0.18/1.5*MIN((1+SQRT(200/E230)),2)*(MIN(J230,2)*(K230-8))^(1/3))</f>
        <v>0.54281981751017883</v>
      </c>
      <c r="S230" s="2">
        <f>E230/1.15*IF(F230="k",(G230+4*E230)*PI(),IF(F230="q",4*G230+4*E230*PI(),2*G230+2*H230+4*E230*PI()))</f>
        <v>528743.70269765612</v>
      </c>
      <c r="T230" s="2">
        <f t="shared" ref="T230:T293" si="20">R230*S230/10^6</f>
        <v>0.28701256020799792</v>
      </c>
      <c r="U230" s="4">
        <f t="shared" ref="U230:U293" si="21">O230/T230</f>
        <v>2.7838502935933009</v>
      </c>
      <c r="V230" s="4"/>
      <c r="W230" s="4"/>
      <c r="X230" s="3"/>
      <c r="Y230" s="3"/>
      <c r="AB230" s="3"/>
    </row>
    <row r="231" spans="1:28" x14ac:dyDescent="0.45">
      <c r="A231" t="s">
        <v>18</v>
      </c>
      <c r="B231" t="s">
        <v>17</v>
      </c>
      <c r="C231" s="1">
        <v>1.77</v>
      </c>
      <c r="D231">
        <v>204</v>
      </c>
      <c r="E231">
        <v>177</v>
      </c>
      <c r="F231" t="s">
        <v>14</v>
      </c>
      <c r="G231">
        <v>201</v>
      </c>
      <c r="H231" t="s">
        <v>15</v>
      </c>
      <c r="I231">
        <f t="shared" si="18"/>
        <v>31730.871199420308</v>
      </c>
      <c r="J231">
        <v>0.64</v>
      </c>
      <c r="K231">
        <v>19</v>
      </c>
      <c r="L231">
        <v>16</v>
      </c>
      <c r="M231">
        <v>586</v>
      </c>
      <c r="N231">
        <v>200</v>
      </c>
      <c r="O231">
        <v>0.47799999999999998</v>
      </c>
      <c r="Q231" s="5">
        <f t="shared" si="19"/>
        <v>1.0875236612856354</v>
      </c>
      <c r="R231" s="2">
        <f>(0.18/1.5*MIN((1+SQRT(200/E231)),2)*(MIN(J231,2)*(K231-8))^(1/3))</f>
        <v>0.45997630627802721</v>
      </c>
      <c r="S231" s="2">
        <f>E231/1.15*IF(F231="k",(G231+4*E231)*PI(),IF(F231="q",4*G231+4*E231*PI(),2*G231+2*H231+4*E231*PI()))</f>
        <v>439530.6667948023</v>
      </c>
      <c r="T231" s="2">
        <f t="shared" si="20"/>
        <v>0.20217369260819151</v>
      </c>
      <c r="U231" s="4">
        <f t="shared" si="21"/>
        <v>2.3643036531283732</v>
      </c>
      <c r="V231" s="4"/>
      <c r="W231" s="4"/>
      <c r="X231" s="3"/>
      <c r="Y231" s="3"/>
      <c r="AB231" s="3"/>
    </row>
    <row r="232" spans="1:28" x14ac:dyDescent="0.45">
      <c r="A232" t="s">
        <v>18</v>
      </c>
      <c r="B232" t="s">
        <v>17</v>
      </c>
      <c r="C232" s="1">
        <v>2.27</v>
      </c>
      <c r="D232">
        <v>205</v>
      </c>
      <c r="E232">
        <v>174</v>
      </c>
      <c r="F232" t="s">
        <v>14</v>
      </c>
      <c r="G232">
        <v>899</v>
      </c>
      <c r="H232" t="s">
        <v>15</v>
      </c>
      <c r="I232">
        <f t="shared" si="18"/>
        <v>634759.58105598111</v>
      </c>
      <c r="J232">
        <v>1.1599999999999999</v>
      </c>
      <c r="K232">
        <v>19</v>
      </c>
      <c r="L232">
        <v>16</v>
      </c>
      <c r="M232">
        <v>576</v>
      </c>
      <c r="N232">
        <v>203</v>
      </c>
      <c r="O232">
        <v>1.111</v>
      </c>
      <c r="Q232" s="5">
        <f t="shared" si="19"/>
        <v>1.4653861783688975</v>
      </c>
      <c r="R232" s="2">
        <f>(0.18/1.5*MIN((1+SQRT(200/E232)),2)*(MIN(J232,2)*(K232-8))^(1/3))</f>
        <v>0.56082599195906979</v>
      </c>
      <c r="S232" s="2">
        <f>E232/1.15*IF(F232="k",(G232+4*E232)*PI(),IF(F232="q",4*G232+4*E232*PI(),2*G232+2*H232+4*E232*PI()))</f>
        <v>758161.92100067425</v>
      </c>
      <c r="T232" s="2">
        <f t="shared" si="20"/>
        <v>0.42519691141079702</v>
      </c>
      <c r="U232" s="4">
        <f t="shared" si="21"/>
        <v>2.6129070324469632</v>
      </c>
      <c r="V232" s="4"/>
      <c r="W232" s="4"/>
      <c r="X232" s="3"/>
      <c r="Y232" s="3"/>
      <c r="AB232" s="3"/>
    </row>
    <row r="233" spans="1:28" x14ac:dyDescent="0.45">
      <c r="A233" t="s">
        <v>18</v>
      </c>
      <c r="B233" t="s">
        <v>17</v>
      </c>
      <c r="C233" s="1">
        <v>2.27</v>
      </c>
      <c r="D233">
        <v>203</v>
      </c>
      <c r="E233">
        <v>172</v>
      </c>
      <c r="F233" t="s">
        <v>14</v>
      </c>
      <c r="G233">
        <v>897</v>
      </c>
      <c r="H233" t="s">
        <v>15</v>
      </c>
      <c r="I233">
        <f t="shared" si="18"/>
        <v>631938.43085305742</v>
      </c>
      <c r="J233">
        <v>1.17</v>
      </c>
      <c r="K233">
        <v>19</v>
      </c>
      <c r="L233">
        <v>16</v>
      </c>
      <c r="M233">
        <v>576</v>
      </c>
      <c r="N233">
        <v>203</v>
      </c>
      <c r="O233">
        <v>1.107</v>
      </c>
      <c r="Q233" s="5">
        <f t="shared" si="19"/>
        <v>1.4864074558222971</v>
      </c>
      <c r="R233" s="2">
        <f>(0.18/1.5*MIN((1+SQRT(200/E233)),2)*(MIN(J233,2)*(K233-8))^(1/3))</f>
        <v>0.56243295200843624</v>
      </c>
      <c r="S233" s="2">
        <f>E233/1.15*IF(F233="k",(G233+4*E233)*PI(),IF(F233="q",4*G233+4*E233*PI(),2*G233+2*H233+4*E233*PI()))</f>
        <v>744748.68627969525</v>
      </c>
      <c r="T233" s="2">
        <f t="shared" si="20"/>
        <v>0.41887120212869378</v>
      </c>
      <c r="U233" s="4">
        <f t="shared" si="21"/>
        <v>2.6428171580530044</v>
      </c>
      <c r="V233" s="4"/>
      <c r="W233" s="4"/>
      <c r="X233" s="3"/>
      <c r="Y233" s="3"/>
      <c r="AB233" s="3"/>
    </row>
    <row r="234" spans="1:28" x14ac:dyDescent="0.45">
      <c r="A234" t="s">
        <v>18</v>
      </c>
      <c r="B234" t="s">
        <v>17</v>
      </c>
      <c r="C234" s="1">
        <v>2.27</v>
      </c>
      <c r="D234">
        <v>204</v>
      </c>
      <c r="E234">
        <v>173</v>
      </c>
      <c r="F234" t="s">
        <v>14</v>
      </c>
      <c r="G234">
        <v>901</v>
      </c>
      <c r="H234" t="s">
        <v>15</v>
      </c>
      <c r="I234">
        <f t="shared" si="18"/>
        <v>637587.01444421196</v>
      </c>
      <c r="J234">
        <v>1.1599999999999999</v>
      </c>
      <c r="K234">
        <v>19</v>
      </c>
      <c r="L234">
        <v>16</v>
      </c>
      <c r="M234">
        <v>576</v>
      </c>
      <c r="N234">
        <v>203</v>
      </c>
      <c r="O234">
        <v>1.079</v>
      </c>
      <c r="Q234" s="5">
        <f t="shared" si="19"/>
        <v>1.4332024219804007</v>
      </c>
      <c r="R234" s="2">
        <f>(0.18/1.5*MIN((1+SQRT(200/E234)),2)*(MIN(J234,2)*(K234-8))^(1/3))</f>
        <v>0.56082599195906979</v>
      </c>
      <c r="S234" s="2">
        <f>E234/1.15*IF(F234="k",(G234+4*E234)*PI(),IF(F234="q",4*G234+4*E234*PI(),2*G234+2*H234+4*E234*PI()))</f>
        <v>752859.45896535437</v>
      </c>
      <c r="T234" s="2">
        <f t="shared" si="20"/>
        <v>0.42222315288001344</v>
      </c>
      <c r="U234" s="4">
        <f t="shared" si="21"/>
        <v>2.5555206829376029</v>
      </c>
      <c r="V234" s="4"/>
      <c r="W234" s="4"/>
      <c r="X234" s="3"/>
      <c r="Y234" s="3"/>
      <c r="AB234" s="3"/>
    </row>
    <row r="235" spans="1:28" x14ac:dyDescent="0.45">
      <c r="A235" t="s">
        <v>18</v>
      </c>
      <c r="B235" t="s">
        <v>17</v>
      </c>
      <c r="C235" s="1">
        <v>1.6</v>
      </c>
      <c r="D235">
        <v>150</v>
      </c>
      <c r="E235">
        <v>98</v>
      </c>
      <c r="F235" t="s">
        <v>17</v>
      </c>
      <c r="G235">
        <v>160</v>
      </c>
      <c r="H235" t="s">
        <v>15</v>
      </c>
      <c r="I235">
        <f t="shared" si="18"/>
        <v>25600</v>
      </c>
      <c r="J235">
        <v>0.8</v>
      </c>
      <c r="K235">
        <v>25.9</v>
      </c>
      <c r="L235" t="s">
        <v>15</v>
      </c>
      <c r="M235">
        <v>414</v>
      </c>
      <c r="O235">
        <v>0.21</v>
      </c>
      <c r="Q235" s="5">
        <f t="shared" si="19"/>
        <v>1.3167405961493517</v>
      </c>
      <c r="R235" s="2">
        <f>(0.18/1.5*MIN((1+SQRT(200/E235)),2)*(MIN(J235,2)*(K235-8))^(1/3))</f>
        <v>0.58280810264610983</v>
      </c>
      <c r="S235" s="2">
        <f>E235/1.15*IF(F235="k",(G235+4*E235)*PI(),IF(F235="q",4*G235+4*E235*PI(),2*G235+2*H235+4*E235*PI()))</f>
        <v>159484.71598287433</v>
      </c>
      <c r="T235" s="2">
        <f t="shared" si="20"/>
        <v>9.2948984723032702E-2</v>
      </c>
      <c r="U235" s="4">
        <f t="shared" si="21"/>
        <v>2.2593038603461166</v>
      </c>
      <c r="V235" s="4"/>
      <c r="W235" s="4"/>
      <c r="X235" s="3"/>
      <c r="Y235" s="3"/>
      <c r="AB235" s="3"/>
    </row>
    <row r="236" spans="1:28" x14ac:dyDescent="0.45">
      <c r="A236" t="s">
        <v>18</v>
      </c>
      <c r="B236" t="s">
        <v>17</v>
      </c>
      <c r="C236" s="1">
        <v>1.6</v>
      </c>
      <c r="D236">
        <v>150</v>
      </c>
      <c r="E236">
        <v>95</v>
      </c>
      <c r="F236" t="s">
        <v>17</v>
      </c>
      <c r="G236">
        <v>200</v>
      </c>
      <c r="H236" t="s">
        <v>15</v>
      </c>
      <c r="I236">
        <f t="shared" si="18"/>
        <v>40000</v>
      </c>
      <c r="J236">
        <v>0.83</v>
      </c>
      <c r="K236">
        <v>25</v>
      </c>
      <c r="L236" t="s">
        <v>15</v>
      </c>
      <c r="M236">
        <v>414</v>
      </c>
      <c r="O236">
        <v>0.22</v>
      </c>
      <c r="Q236" s="5">
        <f t="shared" si="19"/>
        <v>1.3357161891065132</v>
      </c>
      <c r="R236" s="2">
        <f>(0.18/1.5*MIN((1+SQRT(200/E236)),2)*(MIN(J236,2)*(K236-8))^(1/3))</f>
        <v>0.57994513948011073</v>
      </c>
      <c r="S236" s="2">
        <f>E236/1.15*IF(F236="k",(G236+4*E236)*PI(),IF(F236="q",4*G236+4*E236*PI(),2*G236+2*H236+4*E236*PI()))</f>
        <v>164705.64764747091</v>
      </c>
      <c r="T236" s="2">
        <f t="shared" si="20"/>
        <v>9.5520239798074488E-2</v>
      </c>
      <c r="U236" s="4">
        <f t="shared" si="21"/>
        <v>2.3031767975569384</v>
      </c>
      <c r="V236" s="4"/>
      <c r="W236" s="4"/>
      <c r="X236" s="3"/>
      <c r="Y236" s="3"/>
      <c r="AB236" s="3"/>
    </row>
    <row r="237" spans="1:28" x14ac:dyDescent="0.45">
      <c r="A237" t="s">
        <v>18</v>
      </c>
      <c r="B237" t="s">
        <v>17</v>
      </c>
      <c r="C237" s="1">
        <v>1.6</v>
      </c>
      <c r="D237">
        <v>150</v>
      </c>
      <c r="E237">
        <v>104</v>
      </c>
      <c r="F237" t="s">
        <v>17</v>
      </c>
      <c r="G237">
        <v>320</v>
      </c>
      <c r="H237" t="s">
        <v>15</v>
      </c>
      <c r="I237">
        <f t="shared" si="18"/>
        <v>102400</v>
      </c>
      <c r="J237">
        <v>0.76</v>
      </c>
      <c r="K237">
        <v>32.200000000000003</v>
      </c>
      <c r="L237" t="s">
        <v>15</v>
      </c>
      <c r="M237">
        <v>414</v>
      </c>
      <c r="O237">
        <v>0.28000000000000003</v>
      </c>
      <c r="Q237" s="5">
        <f t="shared" si="19"/>
        <v>1.1968575520800471</v>
      </c>
      <c r="R237" s="2">
        <f>(0.18/1.5*MIN((1+SQRT(200/E237)),2)*(MIN(J237,2)*(K237-8))^(1/3))</f>
        <v>0.63351109863781152</v>
      </c>
      <c r="S237" s="2">
        <f>E237/1.15*IF(F237="k",(G237+4*E237)*PI(),IF(F237="q",4*G237+4*E237*PI(),2*G237+2*H237+4*E237*PI()))</f>
        <v>233945.96918687725</v>
      </c>
      <c r="T237" s="2">
        <f t="shared" si="20"/>
        <v>0.14820736796146619</v>
      </c>
      <c r="U237" s="4">
        <f t="shared" si="21"/>
        <v>1.8892448051084736</v>
      </c>
      <c r="V237" s="4"/>
      <c r="W237" s="4"/>
      <c r="X237" s="3"/>
      <c r="Y237" s="3"/>
      <c r="AB237" s="3"/>
    </row>
    <row r="238" spans="1:28" x14ac:dyDescent="0.45">
      <c r="A238" t="s">
        <v>18</v>
      </c>
      <c r="B238" t="s">
        <v>17</v>
      </c>
      <c r="C238" s="1">
        <v>1.6</v>
      </c>
      <c r="D238">
        <v>150</v>
      </c>
      <c r="E238">
        <v>93</v>
      </c>
      <c r="F238" t="s">
        <v>20</v>
      </c>
      <c r="G238">
        <v>160</v>
      </c>
      <c r="H238">
        <v>240</v>
      </c>
      <c r="I238">
        <f t="shared" si="18"/>
        <v>38400</v>
      </c>
      <c r="J238">
        <v>0.84</v>
      </c>
      <c r="K238">
        <v>22.3</v>
      </c>
      <c r="L238" t="s">
        <v>15</v>
      </c>
      <c r="M238">
        <v>414</v>
      </c>
      <c r="O238">
        <v>0.22</v>
      </c>
      <c r="Q238" s="5">
        <f t="shared" si="19"/>
        <v>1.3818601890061246</v>
      </c>
      <c r="R238" s="2">
        <f>(0.18/1.5*MIN((1+SQRT(200/E238)),2)*(MIN(J238,2)*(K238-8))^(1/3))</f>
        <v>0.54964592968687642</v>
      </c>
      <c r="S238" s="2">
        <f>E238/1.15*IF(F238="k",(G238+4*E238)*PI(),IF(F238="q",4*G238+4*E238*PI(),2*G238+2*H238+4*E238*PI()))</f>
        <v>159205.68647268912</v>
      </c>
      <c r="T238" s="2">
        <f t="shared" si="20"/>
        <v>8.7506757552718584E-2</v>
      </c>
      <c r="U238" s="4">
        <f t="shared" si="21"/>
        <v>2.5140915530718946</v>
      </c>
      <c r="V238" s="4"/>
      <c r="W238" s="4"/>
      <c r="X238" s="3"/>
      <c r="Y238" s="3"/>
      <c r="AB238" s="3"/>
    </row>
    <row r="239" spans="1:28" x14ac:dyDescent="0.45">
      <c r="A239" t="s">
        <v>18</v>
      </c>
      <c r="B239" t="s">
        <v>17</v>
      </c>
      <c r="C239" s="1">
        <v>1.6</v>
      </c>
      <c r="D239">
        <v>150</v>
      </c>
      <c r="E239">
        <v>92</v>
      </c>
      <c r="F239" t="s">
        <v>20</v>
      </c>
      <c r="G239">
        <v>133</v>
      </c>
      <c r="H239">
        <v>267</v>
      </c>
      <c r="I239">
        <f t="shared" si="18"/>
        <v>35511</v>
      </c>
      <c r="J239">
        <v>0.85</v>
      </c>
      <c r="K239">
        <v>27</v>
      </c>
      <c r="L239" t="s">
        <v>15</v>
      </c>
      <c r="M239">
        <v>414</v>
      </c>
      <c r="O239">
        <v>0.215</v>
      </c>
      <c r="Q239" s="5">
        <f t="shared" si="19"/>
        <v>1.3739029824505675</v>
      </c>
      <c r="R239" s="2">
        <f>(0.18/1.5*MIN((1+SQRT(200/E239)),2)*(MIN(J239,2)*(K239-8))^(1/3))</f>
        <v>0.60664611021331472</v>
      </c>
      <c r="S239" s="2">
        <f>E239/1.15*IF(F239="k",(G239+4*E239)*PI(),IF(F239="q",4*G239+4*E239*PI(),2*G239+2*H239+4*E239*PI()))</f>
        <v>156488.48772168352</v>
      </c>
      <c r="T239" s="2">
        <f t="shared" si="20"/>
        <v>9.493313236952336E-2</v>
      </c>
      <c r="U239" s="4">
        <f t="shared" si="21"/>
        <v>2.2647519852512739</v>
      </c>
      <c r="V239" s="4"/>
      <c r="W239" s="4"/>
      <c r="X239" s="3"/>
      <c r="Y239" s="3"/>
      <c r="AB239" s="3"/>
    </row>
    <row r="240" spans="1:28" x14ac:dyDescent="0.45">
      <c r="A240" t="s">
        <v>18</v>
      </c>
      <c r="B240" t="s">
        <v>17</v>
      </c>
      <c r="C240" s="1">
        <v>1.6</v>
      </c>
      <c r="D240">
        <v>150</v>
      </c>
      <c r="E240">
        <v>90</v>
      </c>
      <c r="F240" t="s">
        <v>20</v>
      </c>
      <c r="G240">
        <v>100</v>
      </c>
      <c r="H240">
        <v>300</v>
      </c>
      <c r="I240">
        <f t="shared" si="18"/>
        <v>30000</v>
      </c>
      <c r="J240">
        <v>0.87</v>
      </c>
      <c r="K240">
        <v>21.2</v>
      </c>
      <c r="L240" t="s">
        <v>15</v>
      </c>
      <c r="M240">
        <v>414</v>
      </c>
      <c r="O240">
        <v>0.21</v>
      </c>
      <c r="Q240" s="5">
        <f t="shared" si="19"/>
        <v>1.3896273223962272</v>
      </c>
      <c r="R240" s="2">
        <f>(0.18/1.5*MIN((1+SQRT(200/E240)),2)*(MIN(J240,2)*(K240-8))^(1/3))</f>
        <v>0.54147154184740409</v>
      </c>
      <c r="S240" s="2">
        <f>E240/1.15*IF(F240="k",(G240+4*E240)*PI(),IF(F240="q",4*G240+4*E240*PI(),2*G240+2*H240+4*E240*PI()))</f>
        <v>151119.65389244288</v>
      </c>
      <c r="T240" s="2">
        <f t="shared" si="20"/>
        <v>8.1826991996587106E-2</v>
      </c>
      <c r="U240" s="4">
        <f t="shared" si="21"/>
        <v>2.5663903178642911</v>
      </c>
      <c r="V240" s="4"/>
      <c r="W240" s="4"/>
      <c r="X240" s="3"/>
      <c r="Y240" s="3"/>
      <c r="AB240" s="3"/>
    </row>
    <row r="241" spans="1:28" x14ac:dyDescent="0.45">
      <c r="A241" t="s">
        <v>18</v>
      </c>
      <c r="B241" t="s">
        <v>17</v>
      </c>
      <c r="C241" s="1">
        <v>1.6</v>
      </c>
      <c r="D241">
        <v>150</v>
      </c>
      <c r="E241">
        <v>92</v>
      </c>
      <c r="F241" t="s">
        <v>20</v>
      </c>
      <c r="G241">
        <v>80</v>
      </c>
      <c r="H241">
        <v>325</v>
      </c>
      <c r="I241">
        <f t="shared" si="18"/>
        <v>26000</v>
      </c>
      <c r="J241">
        <v>0.85</v>
      </c>
      <c r="K241">
        <v>23.3</v>
      </c>
      <c r="L241" t="s">
        <v>15</v>
      </c>
      <c r="M241">
        <v>414</v>
      </c>
      <c r="O241">
        <v>0.17599999999999999</v>
      </c>
      <c r="Q241" s="5">
        <f t="shared" si="19"/>
        <v>1.1189630121654284</v>
      </c>
      <c r="R241" s="2">
        <f>(0.18/1.5*MIN((1+SQRT(200/E241)),2)*(MIN(J241,2)*(K241-8))^(1/3))</f>
        <v>0.56439266453910342</v>
      </c>
      <c r="S241" s="2">
        <f>E241/1.15*IF(F241="k",(G241+4*E241)*PI(),IF(F241="q",4*G241+4*E241*PI(),2*G241+2*H241+4*E241*PI()))</f>
        <v>157288.48772168352</v>
      </c>
      <c r="T241" s="2">
        <f t="shared" si="20"/>
        <v>8.8772468686567005E-2</v>
      </c>
      <c r="U241" s="4">
        <f t="shared" si="21"/>
        <v>1.9825966609243593</v>
      </c>
      <c r="V241" s="4"/>
      <c r="W241" s="4"/>
      <c r="X241" s="3"/>
      <c r="Y241" s="3"/>
      <c r="AB241" s="3"/>
    </row>
    <row r="242" spans="1:28" x14ac:dyDescent="0.45">
      <c r="A242" t="s">
        <v>18</v>
      </c>
      <c r="B242" t="s">
        <v>17</v>
      </c>
      <c r="C242" s="1">
        <v>1.6</v>
      </c>
      <c r="D242">
        <v>150</v>
      </c>
      <c r="E242">
        <v>99</v>
      </c>
      <c r="F242" t="s">
        <v>20</v>
      </c>
      <c r="G242">
        <v>80</v>
      </c>
      <c r="H242">
        <v>330</v>
      </c>
      <c r="I242">
        <f t="shared" si="18"/>
        <v>26400</v>
      </c>
      <c r="J242">
        <v>0.79</v>
      </c>
      <c r="K242">
        <v>29.4</v>
      </c>
      <c r="L242" t="s">
        <v>15</v>
      </c>
      <c r="M242">
        <v>414</v>
      </c>
      <c r="O242">
        <v>0.22500000000000001</v>
      </c>
      <c r="Q242" s="5">
        <f t="shared" si="19"/>
        <v>1.2662533193550958</v>
      </c>
      <c r="R242" s="2">
        <f>(0.18/1.5*MIN((1+SQRT(200/E242)),2)*(MIN(J242,2)*(K242-8))^(1/3))</f>
        <v>0.61596806490989708</v>
      </c>
      <c r="S242" s="2">
        <f>E242/1.15*IF(F242="k",(G242+4*E242)*PI(),IF(F242="q",4*G242+4*E242*PI(),2*G242+2*H242+4*E242*PI()))</f>
        <v>177689.56381855154</v>
      </c>
      <c r="T242" s="2">
        <f t="shared" si="20"/>
        <v>0.10945109677999684</v>
      </c>
      <c r="U242" s="4">
        <f t="shared" si="21"/>
        <v>2.0557126115626168</v>
      </c>
      <c r="V242" s="4"/>
      <c r="W242" s="4"/>
      <c r="X242" s="3"/>
      <c r="Y242" s="3"/>
      <c r="AB242" s="3"/>
    </row>
    <row r="243" spans="1:28" x14ac:dyDescent="0.45">
      <c r="A243" t="s">
        <v>18</v>
      </c>
      <c r="B243" t="s">
        <v>17</v>
      </c>
      <c r="C243" s="1">
        <v>1.6</v>
      </c>
      <c r="D243">
        <v>150</v>
      </c>
      <c r="E243">
        <v>99</v>
      </c>
      <c r="F243" t="s">
        <v>17</v>
      </c>
      <c r="G243">
        <v>160</v>
      </c>
      <c r="H243" t="s">
        <v>15</v>
      </c>
      <c r="I243">
        <f t="shared" si="18"/>
        <v>25600</v>
      </c>
      <c r="J243">
        <v>1.36</v>
      </c>
      <c r="K243">
        <v>23.1</v>
      </c>
      <c r="L243" t="s">
        <v>15</v>
      </c>
      <c r="M243">
        <v>416</v>
      </c>
      <c r="O243">
        <v>0.26</v>
      </c>
      <c r="Q243" s="5">
        <f t="shared" si="19"/>
        <v>1.6030194805933986</v>
      </c>
      <c r="R243" s="2">
        <f>(0.18/1.5*MIN((1+SQRT(200/E243)),2)*(MIN(J243,2)*(K243-8))^(1/3))</f>
        <v>0.65722871043220932</v>
      </c>
      <c r="S243" s="2">
        <f>E243/1.15*IF(F243="k",(G243+4*E243)*PI(),IF(F243="q",4*G243+4*E243*PI(),2*G243+2*H243+4*E243*PI()))</f>
        <v>162193.91164463852</v>
      </c>
      <c r="T243" s="2">
        <f t="shared" si="20"/>
        <v>0.10659849539016146</v>
      </c>
      <c r="U243" s="4">
        <f t="shared" si="21"/>
        <v>2.439058816434259</v>
      </c>
      <c r="V243" s="4"/>
      <c r="W243" s="4"/>
      <c r="X243" s="3"/>
      <c r="Y243" s="3"/>
      <c r="AB243" s="3"/>
    </row>
    <row r="244" spans="1:28" x14ac:dyDescent="0.45">
      <c r="A244" t="s">
        <v>18</v>
      </c>
      <c r="B244" t="s">
        <v>17</v>
      </c>
      <c r="C244" s="1">
        <v>1.6</v>
      </c>
      <c r="D244">
        <v>150</v>
      </c>
      <c r="E244">
        <v>99</v>
      </c>
      <c r="F244" t="s">
        <v>17</v>
      </c>
      <c r="G244">
        <v>320</v>
      </c>
      <c r="H244" t="s">
        <v>15</v>
      </c>
      <c r="I244">
        <f t="shared" si="18"/>
        <v>102400</v>
      </c>
      <c r="J244">
        <v>1.36</v>
      </c>
      <c r="K244">
        <v>29.1</v>
      </c>
      <c r="L244" t="s">
        <v>15</v>
      </c>
      <c r="M244">
        <v>416</v>
      </c>
      <c r="O244">
        <v>0.36</v>
      </c>
      <c r="Q244" s="5">
        <f t="shared" si="19"/>
        <v>1.6567753815393516</v>
      </c>
      <c r="R244" s="2">
        <f>(0.18/1.5*MIN((1+SQRT(200/E244)),2)*(MIN(J244,2)*(K244-8))^(1/3))</f>
        <v>0.73477047393697736</v>
      </c>
      <c r="S244" s="2">
        <f>E244/1.15*IF(F244="k",(G244+4*E244)*PI(),IF(F244="q",4*G244+4*E244*PI(),2*G244+2*H244+4*E244*PI()))</f>
        <v>217289.56381855154</v>
      </c>
      <c r="T244" s="2">
        <f t="shared" si="20"/>
        <v>0.15965795578851621</v>
      </c>
      <c r="U244" s="4">
        <f t="shared" si="21"/>
        <v>2.254820301450295</v>
      </c>
      <c r="V244" s="4"/>
      <c r="W244" s="4"/>
      <c r="X244" s="3"/>
      <c r="Y244" s="3"/>
      <c r="AB244" s="3"/>
    </row>
    <row r="245" spans="1:28" x14ac:dyDescent="0.45">
      <c r="A245" t="s">
        <v>18</v>
      </c>
      <c r="B245" t="s">
        <v>17</v>
      </c>
      <c r="C245" s="1">
        <v>1.6</v>
      </c>
      <c r="D245">
        <v>150</v>
      </c>
      <c r="E245">
        <v>91</v>
      </c>
      <c r="F245" t="s">
        <v>20</v>
      </c>
      <c r="G245">
        <v>133</v>
      </c>
      <c r="H245">
        <v>267</v>
      </c>
      <c r="I245">
        <f t="shared" si="18"/>
        <v>35511</v>
      </c>
      <c r="J245">
        <v>1.58</v>
      </c>
      <c r="K245">
        <v>19.2</v>
      </c>
      <c r="L245" t="s">
        <v>15</v>
      </c>
      <c r="M245">
        <v>352</v>
      </c>
      <c r="O245">
        <v>0.252</v>
      </c>
      <c r="Q245" s="5">
        <f t="shared" si="19"/>
        <v>1.6385645953955084</v>
      </c>
      <c r="R245" s="2">
        <f>(0.18/1.5*MIN((1+SQRT(200/E245)),2)*(MIN(J245,2)*(K245-8))^(1/3))</f>
        <v>0.62541689859772975</v>
      </c>
      <c r="S245" s="2">
        <f>E245/1.15*IF(F245="k",(G245+4*E245)*PI(),IF(F245="q",4*G245+4*E245*PI(),2*G245+2*H245+4*E245*PI()))</f>
        <v>153793.14352826812</v>
      </c>
      <c r="T245" s="2">
        <f t="shared" si="20"/>
        <v>9.6184830851044956E-2</v>
      </c>
      <c r="U245" s="4">
        <f t="shared" si="21"/>
        <v>2.6199557432320657</v>
      </c>
      <c r="V245" s="4"/>
      <c r="W245" s="4"/>
      <c r="X245" s="3"/>
      <c r="Y245" s="3"/>
      <c r="AB245" s="3"/>
    </row>
    <row r="246" spans="1:28" x14ac:dyDescent="0.45">
      <c r="A246" t="s">
        <v>18</v>
      </c>
      <c r="B246" t="s">
        <v>17</v>
      </c>
      <c r="C246" s="1">
        <v>1.6</v>
      </c>
      <c r="D246">
        <v>150</v>
      </c>
      <c r="E246">
        <v>92</v>
      </c>
      <c r="F246" t="s">
        <v>20</v>
      </c>
      <c r="G246">
        <v>100</v>
      </c>
      <c r="H246">
        <v>300</v>
      </c>
      <c r="I246">
        <f t="shared" si="18"/>
        <v>30000</v>
      </c>
      <c r="J246">
        <v>1.47</v>
      </c>
      <c r="K246">
        <v>15.5</v>
      </c>
      <c r="L246" t="s">
        <v>15</v>
      </c>
      <c r="M246">
        <v>352</v>
      </c>
      <c r="O246">
        <v>0.22</v>
      </c>
      <c r="Q246" s="5">
        <f t="shared" si="19"/>
        <v>1.4058542146005808</v>
      </c>
      <c r="R246" s="2">
        <f>(0.18/1.5*MIN((1+SQRT(200/E246)),2)*(MIN(J246,2)*(K246-8))^(1/3))</f>
        <v>0.53415927580595646</v>
      </c>
      <c r="S246" s="2">
        <f>E246/1.15*IF(F246="k",(G246+4*E246)*PI(),IF(F246="q",4*G246+4*E246*PI(),2*G246+2*H246+4*E246*PI()))</f>
        <v>156488.48772168352</v>
      </c>
      <c r="T246" s="2">
        <f t="shared" si="20"/>
        <v>8.3589777273383778E-2</v>
      </c>
      <c r="U246" s="4">
        <f t="shared" si="21"/>
        <v>2.6319007799300747</v>
      </c>
      <c r="V246" s="4"/>
      <c r="W246" s="4"/>
      <c r="X246" s="3"/>
      <c r="Y246" s="3"/>
      <c r="AB246" s="3"/>
    </row>
    <row r="247" spans="1:28" x14ac:dyDescent="0.45">
      <c r="A247" t="s">
        <v>18</v>
      </c>
      <c r="B247" t="s">
        <v>17</v>
      </c>
      <c r="C247" s="1">
        <v>1.6</v>
      </c>
      <c r="D247">
        <v>150</v>
      </c>
      <c r="E247">
        <v>92</v>
      </c>
      <c r="F247" t="s">
        <v>20</v>
      </c>
      <c r="G247">
        <v>80</v>
      </c>
      <c r="H247">
        <v>320</v>
      </c>
      <c r="I247">
        <f t="shared" si="18"/>
        <v>25600</v>
      </c>
      <c r="J247">
        <v>1.47</v>
      </c>
      <c r="K247">
        <v>14.1</v>
      </c>
      <c r="L247" t="s">
        <v>15</v>
      </c>
      <c r="M247">
        <v>352</v>
      </c>
      <c r="O247">
        <v>0.21</v>
      </c>
      <c r="Q247" s="5">
        <f t="shared" si="19"/>
        <v>1.3419517503005542</v>
      </c>
      <c r="R247" s="2">
        <f>(0.18/1.5*MIN((1+SQRT(200/E247)),2)*(MIN(J247,2)*(K247-8))^(1/3))</f>
        <v>0.49860921233961691</v>
      </c>
      <c r="S247" s="2">
        <f>E247/1.15*IF(F247="k",(G247+4*E247)*PI(),IF(F247="q",4*G247+4*E247*PI(),2*G247+2*H247+4*E247*PI()))</f>
        <v>156488.48772168352</v>
      </c>
      <c r="T247" s="2">
        <f t="shared" si="20"/>
        <v>7.8026601603126425E-2</v>
      </c>
      <c r="U247" s="4">
        <f t="shared" si="21"/>
        <v>2.6913898040586401</v>
      </c>
      <c r="V247" s="4"/>
      <c r="W247" s="4"/>
      <c r="X247" s="3"/>
      <c r="Y247" s="3"/>
      <c r="AB247" s="3"/>
    </row>
    <row r="248" spans="1:28" x14ac:dyDescent="0.45">
      <c r="A248" t="s">
        <v>18</v>
      </c>
      <c r="B248" t="s">
        <v>17</v>
      </c>
      <c r="C248" s="1">
        <v>1.5</v>
      </c>
      <c r="D248">
        <v>90</v>
      </c>
      <c r="E248">
        <v>70</v>
      </c>
      <c r="F248" t="s">
        <v>17</v>
      </c>
      <c r="G248">
        <v>150</v>
      </c>
      <c r="H248" t="s">
        <v>15</v>
      </c>
      <c r="I248">
        <f t="shared" si="18"/>
        <v>22500</v>
      </c>
      <c r="J248">
        <v>1.52</v>
      </c>
      <c r="K248">
        <v>75</v>
      </c>
      <c r="L248">
        <v>20</v>
      </c>
      <c r="M248">
        <v>490</v>
      </c>
      <c r="O248">
        <v>0.25800000000000001</v>
      </c>
      <c r="Q248" s="5">
        <f t="shared" si="19"/>
        <v>2.8645849019549523</v>
      </c>
      <c r="R248" s="2">
        <f>(0.18/1.5*MIN((1+SQRT(200/E248)),2)*(MIN(J248,2)*(K248-8))^(1/3))</f>
        <v>1.1207722565110123</v>
      </c>
      <c r="S248" s="2">
        <f>E248/1.15*IF(F248="k",(G248+4*E248)*PI(),IF(F248="q",4*G248+4*E248*PI(),2*G248+2*H248+4*E248*PI()))</f>
        <v>90065.405226399962</v>
      </c>
      <c r="T248" s="2">
        <f t="shared" si="20"/>
        <v>0.10094280744917102</v>
      </c>
      <c r="U248" s="4">
        <f t="shared" si="21"/>
        <v>2.5559027584002352</v>
      </c>
      <c r="V248" s="4"/>
      <c r="W248" s="4"/>
      <c r="X248" s="3"/>
      <c r="Y248" s="3"/>
      <c r="AB248" s="3"/>
    </row>
    <row r="249" spans="1:28" x14ac:dyDescent="0.45">
      <c r="A249" t="s">
        <v>18</v>
      </c>
      <c r="B249" t="s">
        <v>17</v>
      </c>
      <c r="C249" s="1">
        <v>1.5</v>
      </c>
      <c r="D249">
        <v>90</v>
      </c>
      <c r="E249">
        <v>70</v>
      </c>
      <c r="F249" t="s">
        <v>17</v>
      </c>
      <c r="G249">
        <v>150</v>
      </c>
      <c r="H249" t="s">
        <v>15</v>
      </c>
      <c r="I249">
        <f t="shared" si="18"/>
        <v>22500</v>
      </c>
      <c r="J249">
        <v>2</v>
      </c>
      <c r="K249">
        <v>68</v>
      </c>
      <c r="L249">
        <v>20</v>
      </c>
      <c r="M249">
        <v>490</v>
      </c>
      <c r="O249">
        <v>0.26700000000000002</v>
      </c>
      <c r="Q249" s="5">
        <f t="shared" si="19"/>
        <v>2.9645122822557068</v>
      </c>
      <c r="R249" s="2">
        <f>(0.18/1.5*MIN((1+SQRT(200/E249)),2)*(MIN(J249,2)*(K249-8))^(1/3))</f>
        <v>1.1837817956786254</v>
      </c>
      <c r="S249" s="2">
        <f>E249/1.15*IF(F249="k",(G249+4*E249)*PI(),IF(F249="q",4*G249+4*E249*PI(),2*G249+2*H249+4*E249*PI()))</f>
        <v>90065.405226399962</v>
      </c>
      <c r="T249" s="2">
        <f t="shared" si="20"/>
        <v>0.10661778712743079</v>
      </c>
      <c r="U249" s="4">
        <f t="shared" si="21"/>
        <v>2.5042725720885444</v>
      </c>
      <c r="V249" s="4"/>
      <c r="W249" s="4"/>
      <c r="X249" s="3"/>
      <c r="Y249" s="3"/>
      <c r="AB249" s="3"/>
    </row>
    <row r="250" spans="1:28" x14ac:dyDescent="0.45">
      <c r="A250" t="s">
        <v>14</v>
      </c>
      <c r="B250" t="s">
        <v>14</v>
      </c>
      <c r="C250" s="1">
        <v>0.27900000000000003</v>
      </c>
      <c r="D250">
        <v>51</v>
      </c>
      <c r="E250">
        <v>38</v>
      </c>
      <c r="F250" t="s">
        <v>14</v>
      </c>
      <c r="G250">
        <v>102</v>
      </c>
      <c r="H250" t="s">
        <v>15</v>
      </c>
      <c r="I250">
        <f t="shared" si="18"/>
        <v>8171.2824919870518</v>
      </c>
      <c r="J250">
        <v>2.04</v>
      </c>
      <c r="K250">
        <v>13.4</v>
      </c>
      <c r="L250" t="s">
        <v>15</v>
      </c>
      <c r="M250">
        <v>550</v>
      </c>
      <c r="N250">
        <v>195</v>
      </c>
      <c r="O250">
        <v>3.6999999999999998E-2</v>
      </c>
      <c r="Q250" s="5">
        <f t="shared" si="19"/>
        <v>1.4032413652217457</v>
      </c>
      <c r="R250" s="2">
        <f>(0.18/1.5*MIN((1+SQRT(200/E250)),2)*(MIN(J250,2)*(K250-8))^(1/3))</f>
        <v>0.53050053580421563</v>
      </c>
      <c r="S250" s="2">
        <f>E250/1.15*IF(F250="k",(G250+4*E250)*PI(),IF(F250="q",4*G250+4*E250*PI(),2*G250+2*H250+4*E250*PI()))</f>
        <v>26367.523732564077</v>
      </c>
      <c r="T250" s="2">
        <f t="shared" si="20"/>
        <v>1.3987985467955615E-2</v>
      </c>
      <c r="U250" s="4">
        <f t="shared" si="21"/>
        <v>2.6451271403420793</v>
      </c>
      <c r="V250" s="4"/>
      <c r="W250" s="4"/>
      <c r="X250" s="3"/>
      <c r="Y250" s="3"/>
      <c r="AB250" s="3"/>
    </row>
    <row r="251" spans="1:28" x14ac:dyDescent="0.45">
      <c r="A251" t="s">
        <v>14</v>
      </c>
      <c r="B251" t="s">
        <v>14</v>
      </c>
      <c r="C251" s="1">
        <v>0.27900000000000003</v>
      </c>
      <c r="D251">
        <v>51</v>
      </c>
      <c r="E251">
        <v>38</v>
      </c>
      <c r="F251" t="s">
        <v>14</v>
      </c>
      <c r="G251">
        <v>51</v>
      </c>
      <c r="H251" t="s">
        <v>15</v>
      </c>
      <c r="I251">
        <f t="shared" si="18"/>
        <v>2042.8206229967629</v>
      </c>
      <c r="J251">
        <v>2.04</v>
      </c>
      <c r="K251">
        <v>13.4</v>
      </c>
      <c r="L251" t="s">
        <v>15</v>
      </c>
      <c r="M251">
        <v>550</v>
      </c>
      <c r="N251">
        <v>210</v>
      </c>
      <c r="O251">
        <v>2.5000000000000001E-2</v>
      </c>
      <c r="Q251" s="5">
        <f t="shared" si="19"/>
        <v>1.1863377272211539</v>
      </c>
      <c r="R251" s="2">
        <f>(0.18/1.5*MIN((1+SQRT(200/E251)),2)*(MIN(J251,2)*(K251-8))^(1/3))</f>
        <v>0.53050053580421563</v>
      </c>
      <c r="S251" s="2">
        <f>E251/1.15*IF(F251="k",(G251+4*E251)*PI(),IF(F251="q",4*G251+4*E251*PI(),2*G251+2*H251+4*E251*PI()))</f>
        <v>21073.25715634058</v>
      </c>
      <c r="T251" s="2">
        <f t="shared" si="20"/>
        <v>1.11793742125787E-2</v>
      </c>
      <c r="U251" s="4">
        <f t="shared" si="21"/>
        <v>2.2362611291668495</v>
      </c>
      <c r="V251" s="4"/>
      <c r="W251" s="4"/>
      <c r="X251" s="3"/>
      <c r="Y251" s="3"/>
      <c r="AB251" s="3"/>
    </row>
    <row r="252" spans="1:28" x14ac:dyDescent="0.45">
      <c r="A252" t="s">
        <v>14</v>
      </c>
      <c r="B252" t="s">
        <v>14</v>
      </c>
      <c r="C252" s="1">
        <v>0.22900000000000001</v>
      </c>
      <c r="D252">
        <v>51</v>
      </c>
      <c r="E252">
        <v>38</v>
      </c>
      <c r="F252" t="s">
        <v>14</v>
      </c>
      <c r="G252">
        <v>51</v>
      </c>
      <c r="H252" t="s">
        <v>15</v>
      </c>
      <c r="I252">
        <f t="shared" si="18"/>
        <v>2042.8206229967629</v>
      </c>
      <c r="J252">
        <v>2.04</v>
      </c>
      <c r="K252">
        <v>13.4</v>
      </c>
      <c r="L252" t="s">
        <v>15</v>
      </c>
      <c r="M252">
        <v>550</v>
      </c>
      <c r="N252">
        <v>213</v>
      </c>
      <c r="O252">
        <v>3.5000000000000003E-2</v>
      </c>
      <c r="Q252" s="5">
        <f t="shared" si="19"/>
        <v>1.6608728181096155</v>
      </c>
      <c r="R252" s="2">
        <f>(0.18/1.5*MIN((1+SQRT(200/E252)),2)*(MIN(J252,2)*(K252-8))^(1/3))</f>
        <v>0.53050053580421563</v>
      </c>
      <c r="S252" s="2">
        <f>E252/1.15*IF(F252="k",(G252+4*E252)*PI(),IF(F252="q",4*G252+4*E252*PI(),2*G252+2*H252+4*E252*PI()))</f>
        <v>21073.25715634058</v>
      </c>
      <c r="T252" s="2">
        <f t="shared" si="20"/>
        <v>1.11793742125787E-2</v>
      </c>
      <c r="U252" s="4">
        <f t="shared" si="21"/>
        <v>3.1307655808335895</v>
      </c>
      <c r="V252" s="4"/>
      <c r="W252" s="4"/>
      <c r="X252" s="3"/>
      <c r="Y252" s="3"/>
      <c r="AB252" s="3"/>
    </row>
    <row r="253" spans="1:28" x14ac:dyDescent="0.45">
      <c r="A253" t="s">
        <v>14</v>
      </c>
      <c r="B253" t="s">
        <v>14</v>
      </c>
      <c r="C253" s="1">
        <v>0.38100000000000001</v>
      </c>
      <c r="D253">
        <v>51</v>
      </c>
      <c r="E253">
        <v>38</v>
      </c>
      <c r="F253" t="s">
        <v>14</v>
      </c>
      <c r="G253">
        <v>102</v>
      </c>
      <c r="H253" t="s">
        <v>15</v>
      </c>
      <c r="I253">
        <f t="shared" si="18"/>
        <v>8171.2824919870518</v>
      </c>
      <c r="J253">
        <v>2.04</v>
      </c>
      <c r="K253">
        <v>13.4</v>
      </c>
      <c r="L253" t="s">
        <v>15</v>
      </c>
      <c r="M253">
        <v>550</v>
      </c>
      <c r="N253">
        <v>231</v>
      </c>
      <c r="O253">
        <v>3.3000000000000002E-2</v>
      </c>
      <c r="Q253" s="5">
        <f t="shared" si="19"/>
        <v>1.251539596008584</v>
      </c>
      <c r="R253" s="2">
        <f>(0.18/1.5*MIN((1+SQRT(200/E253)),2)*(MIN(J253,2)*(K253-8))^(1/3))</f>
        <v>0.53050053580421563</v>
      </c>
      <c r="S253" s="2">
        <f>E253/1.15*IF(F253="k",(G253+4*E253)*PI(),IF(F253="q",4*G253+4*E253*PI(),2*G253+2*H253+4*E253*PI()))</f>
        <v>26367.523732564077</v>
      </c>
      <c r="T253" s="2">
        <f t="shared" si="20"/>
        <v>1.3987985467955615E-2</v>
      </c>
      <c r="U253" s="4">
        <f t="shared" si="21"/>
        <v>2.3591674494942874</v>
      </c>
      <c r="V253" s="4"/>
      <c r="W253" s="4"/>
      <c r="X253" s="3"/>
      <c r="Y253" s="3"/>
      <c r="AB253" s="3"/>
    </row>
    <row r="254" spans="1:28" x14ac:dyDescent="0.45">
      <c r="A254" t="s">
        <v>14</v>
      </c>
      <c r="B254" t="s">
        <v>14</v>
      </c>
      <c r="C254" s="1">
        <v>0.38100000000000001</v>
      </c>
      <c r="D254">
        <v>51</v>
      </c>
      <c r="E254">
        <v>38</v>
      </c>
      <c r="F254" t="s">
        <v>14</v>
      </c>
      <c r="G254">
        <v>152</v>
      </c>
      <c r="H254" t="s">
        <v>15</v>
      </c>
      <c r="I254">
        <f t="shared" si="18"/>
        <v>18145.839167134644</v>
      </c>
      <c r="J254">
        <v>2.04</v>
      </c>
      <c r="K254">
        <v>13.4</v>
      </c>
      <c r="L254" t="s">
        <v>15</v>
      </c>
      <c r="M254">
        <v>550</v>
      </c>
      <c r="N254">
        <v>195</v>
      </c>
      <c r="O254">
        <v>4.9000000000000002E-2</v>
      </c>
      <c r="Q254" s="5">
        <f t="shared" si="19"/>
        <v>1.5526975490353709</v>
      </c>
      <c r="R254" s="2">
        <f>(0.18/1.5*MIN((1+SQRT(200/E254)),2)*(MIN(J254,2)*(K254-8))^(1/3))</f>
        <v>0.53050053580421563</v>
      </c>
      <c r="S254" s="2">
        <f>E254/1.15*IF(F254="k",(G254+4*E254)*PI(),IF(F254="q",4*G254+4*E254*PI(),2*G254+2*H254+4*E254*PI()))</f>
        <v>31557.981160234169</v>
      </c>
      <c r="T254" s="2">
        <f t="shared" si="20"/>
        <v>1.674152591440357E-2</v>
      </c>
      <c r="U254" s="4">
        <f t="shared" si="21"/>
        <v>2.9268538752398223</v>
      </c>
      <c r="V254" s="4"/>
      <c r="W254" s="4"/>
      <c r="X254" s="3"/>
      <c r="Y254" s="3"/>
      <c r="AB254" s="3"/>
    </row>
    <row r="255" spans="1:28" x14ac:dyDescent="0.45">
      <c r="A255" t="s">
        <v>14</v>
      </c>
      <c r="B255" t="s">
        <v>14</v>
      </c>
      <c r="C255" s="1">
        <v>0.68600000000000005</v>
      </c>
      <c r="D255">
        <v>51</v>
      </c>
      <c r="E255">
        <v>38</v>
      </c>
      <c r="F255" t="s">
        <v>14</v>
      </c>
      <c r="G255">
        <v>102</v>
      </c>
      <c r="H255" t="s">
        <v>15</v>
      </c>
      <c r="I255">
        <f t="shared" si="18"/>
        <v>8171.2824919870518</v>
      </c>
      <c r="J255">
        <v>2.04</v>
      </c>
      <c r="K255">
        <v>13.4</v>
      </c>
      <c r="L255" t="s">
        <v>15</v>
      </c>
      <c r="M255">
        <v>550</v>
      </c>
      <c r="N255">
        <v>210</v>
      </c>
      <c r="O255">
        <v>3.4000000000000002E-2</v>
      </c>
      <c r="Q255" s="5">
        <f t="shared" si="19"/>
        <v>1.2894650383118746</v>
      </c>
      <c r="R255" s="2">
        <f>(0.18/1.5*MIN((1+SQRT(200/E255)),2)*(MIN(J255,2)*(K255-8))^(1/3))</f>
        <v>0.53050053580421563</v>
      </c>
      <c r="S255" s="2">
        <f>E255/1.15*IF(F255="k",(G255+4*E255)*PI(),IF(F255="q",4*G255+4*E255*PI(),2*G255+2*H255+4*E255*PI()))</f>
        <v>26367.523732564077</v>
      </c>
      <c r="T255" s="2">
        <f t="shared" si="20"/>
        <v>1.3987985467955615E-2</v>
      </c>
      <c r="U255" s="4">
        <f t="shared" si="21"/>
        <v>2.4306573722062352</v>
      </c>
      <c r="V255" s="4"/>
      <c r="W255" s="4"/>
      <c r="X255" s="3"/>
      <c r="Y255" s="3"/>
      <c r="AB255" s="3"/>
    </row>
    <row r="256" spans="1:28" x14ac:dyDescent="0.45">
      <c r="A256" t="s">
        <v>14</v>
      </c>
      <c r="B256" t="s">
        <v>14</v>
      </c>
      <c r="C256" s="1">
        <v>1.1180000000000001</v>
      </c>
      <c r="D256">
        <v>102</v>
      </c>
      <c r="E256">
        <v>76</v>
      </c>
      <c r="F256" t="s">
        <v>14</v>
      </c>
      <c r="G256">
        <v>102</v>
      </c>
      <c r="H256" t="s">
        <v>15</v>
      </c>
      <c r="I256">
        <f t="shared" si="18"/>
        <v>8171.2824919870518</v>
      </c>
      <c r="J256">
        <v>2.0499999999999998</v>
      </c>
      <c r="K256">
        <v>23.3</v>
      </c>
      <c r="L256" t="s">
        <v>15</v>
      </c>
      <c r="M256">
        <v>414</v>
      </c>
      <c r="N256">
        <v>231</v>
      </c>
      <c r="O256">
        <v>0.129</v>
      </c>
      <c r="Q256" s="5">
        <f t="shared" si="19"/>
        <v>1.5303756681152887</v>
      </c>
      <c r="R256" s="2">
        <f>(0.18/1.5*MIN((1+SQRT(200/E256)),2)*(MIN(J256,2)*(K256-8))^(1/3))</f>
        <v>0.75067459305036788</v>
      </c>
      <c r="S256" s="2">
        <f>E256/1.15*IF(F256="k",(G256+4*E256)*PI(),IF(F256="q",4*G256+4*E256*PI(),2*G256+2*H256+4*E256*PI()))</f>
        <v>84293.02862536232</v>
      </c>
      <c r="T256" s="2">
        <f t="shared" si="20"/>
        <v>6.3276634960326872E-2</v>
      </c>
      <c r="U256" s="4">
        <f t="shared" si="21"/>
        <v>2.0386671965233347</v>
      </c>
      <c r="V256" s="4"/>
      <c r="W256" s="4"/>
      <c r="X256" s="3"/>
      <c r="Y256" s="3"/>
      <c r="AB256" s="3"/>
    </row>
    <row r="257" spans="1:28" x14ac:dyDescent="0.45">
      <c r="A257" t="s">
        <v>14</v>
      </c>
      <c r="B257" t="s">
        <v>14</v>
      </c>
      <c r="C257" s="1">
        <v>0.68600000000000005</v>
      </c>
      <c r="D257">
        <v>102</v>
      </c>
      <c r="E257">
        <v>76</v>
      </c>
      <c r="F257" t="s">
        <v>14</v>
      </c>
      <c r="G257">
        <v>102</v>
      </c>
      <c r="H257" t="s">
        <v>15</v>
      </c>
      <c r="I257">
        <f t="shared" si="18"/>
        <v>8171.2824919870518</v>
      </c>
      <c r="J257">
        <v>2.0499999999999998</v>
      </c>
      <c r="K257">
        <v>21.9</v>
      </c>
      <c r="L257" t="s">
        <v>15</v>
      </c>
      <c r="M257">
        <v>414</v>
      </c>
      <c r="N257">
        <v>179</v>
      </c>
      <c r="O257">
        <v>0.13600000000000001</v>
      </c>
      <c r="Q257" s="5">
        <f t="shared" si="19"/>
        <v>1.6134193090207694</v>
      </c>
      <c r="R257" s="2">
        <f>(0.18/1.5*MIN((1+SQRT(200/E257)),2)*(MIN(J257,2)*(K257-8))^(1/3))</f>
        <v>0.7270420116653985</v>
      </c>
      <c r="S257" s="2">
        <f>E257/1.15*IF(F257="k",(G257+4*E257)*PI(),IF(F257="q",4*G257+4*E257*PI(),2*G257+2*H257+4*E257*PI()))</f>
        <v>84293.02862536232</v>
      </c>
      <c r="T257" s="2">
        <f t="shared" si="20"/>
        <v>6.1284573101152442E-2</v>
      </c>
      <c r="U257" s="4">
        <f t="shared" si="21"/>
        <v>2.2191555414039845</v>
      </c>
      <c r="V257" s="4"/>
      <c r="W257" s="4"/>
      <c r="X257" s="3"/>
      <c r="Y257" s="3"/>
      <c r="AB257" s="3"/>
    </row>
    <row r="258" spans="1:28" x14ac:dyDescent="0.45">
      <c r="A258" t="s">
        <v>14</v>
      </c>
      <c r="B258" t="s">
        <v>14</v>
      </c>
      <c r="C258" s="1">
        <v>0.38100000000000001</v>
      </c>
      <c r="D258">
        <v>102</v>
      </c>
      <c r="E258">
        <v>76</v>
      </c>
      <c r="F258" t="s">
        <v>14</v>
      </c>
      <c r="G258">
        <v>102</v>
      </c>
      <c r="H258" t="s">
        <v>15</v>
      </c>
      <c r="I258">
        <f t="shared" si="18"/>
        <v>8171.2824919870518</v>
      </c>
      <c r="J258">
        <v>2.0499999999999998</v>
      </c>
      <c r="K258">
        <v>23.8</v>
      </c>
      <c r="L258" t="s">
        <v>15</v>
      </c>
      <c r="M258">
        <v>414</v>
      </c>
      <c r="N258">
        <v>179</v>
      </c>
      <c r="O258">
        <v>0.129</v>
      </c>
      <c r="Q258" s="5">
        <f t="shared" si="19"/>
        <v>1.5303756681152887</v>
      </c>
      <c r="R258" s="2">
        <f>(0.18/1.5*MIN((1+SQRT(200/E258)),2)*(MIN(J258,2)*(K258-8))^(1/3))</f>
        <v>0.75876438186259754</v>
      </c>
      <c r="S258" s="2">
        <f>E258/1.15*IF(F258="k",(G258+4*E258)*PI(),IF(F258="q",4*G258+4*E258*PI(),2*G258+2*H258+4*E258*PI()))</f>
        <v>84293.02862536232</v>
      </c>
      <c r="T258" s="2">
        <f t="shared" si="20"/>
        <v>6.3958547760249285E-2</v>
      </c>
      <c r="U258" s="4">
        <f t="shared" si="21"/>
        <v>2.0169313487785985</v>
      </c>
      <c r="V258" s="4"/>
      <c r="W258" s="4"/>
      <c r="X258" s="3"/>
      <c r="Y258" s="3"/>
      <c r="AB258" s="3"/>
    </row>
    <row r="259" spans="1:28" x14ac:dyDescent="0.45">
      <c r="A259" t="s">
        <v>14</v>
      </c>
      <c r="B259" t="s">
        <v>14</v>
      </c>
      <c r="C259" s="1">
        <v>0.68600000000000005</v>
      </c>
      <c r="D259">
        <v>152</v>
      </c>
      <c r="E259">
        <v>113</v>
      </c>
      <c r="F259" t="s">
        <v>14</v>
      </c>
      <c r="G259">
        <v>152</v>
      </c>
      <c r="H259" t="s">
        <v>15</v>
      </c>
      <c r="I259">
        <f t="shared" ref="I259:I322" si="22">IF(F259="k",G259^2*PI()/4,IF(F259="q",G259^2,G259*H259))</f>
        <v>18145.839167134644</v>
      </c>
      <c r="J259">
        <v>2.14</v>
      </c>
      <c r="K259">
        <v>21.9</v>
      </c>
      <c r="L259" t="s">
        <v>15</v>
      </c>
      <c r="M259">
        <v>450</v>
      </c>
      <c r="N259">
        <v>179</v>
      </c>
      <c r="O259">
        <v>0.311</v>
      </c>
      <c r="Q259" s="5">
        <f t="shared" si="19"/>
        <v>1.6679882024502244</v>
      </c>
      <c r="R259" s="2">
        <f>(0.18/1.5*MIN((1+SQRT(200/E259)),2)*(MIN(J259,2)*(K259-8))^(1/3))</f>
        <v>0.7270420116653985</v>
      </c>
      <c r="S259" s="2">
        <f>E259/1.15*IF(F259="k",(G259+4*E259)*PI(),IF(F259="q",4*G259+4*E259*PI(),2*G259+2*H259+4*E259*PI()))</f>
        <v>186452.15808070486</v>
      </c>
      <c r="T259" s="2">
        <f t="shared" si="20"/>
        <v>0.13555855209035053</v>
      </c>
      <c r="U259" s="4">
        <f t="shared" si="21"/>
        <v>2.2942115801938985</v>
      </c>
      <c r="V259" s="4"/>
      <c r="W259" s="4"/>
      <c r="X259" s="3"/>
      <c r="Y259" s="3"/>
      <c r="AB259" s="3"/>
    </row>
    <row r="260" spans="1:28" x14ac:dyDescent="0.45">
      <c r="A260" t="s">
        <v>14</v>
      </c>
      <c r="B260" t="s">
        <v>14</v>
      </c>
      <c r="C260" s="1">
        <v>0.68600000000000005</v>
      </c>
      <c r="D260">
        <v>152</v>
      </c>
      <c r="E260">
        <v>113</v>
      </c>
      <c r="F260" t="s">
        <v>14</v>
      </c>
      <c r="G260">
        <v>203</v>
      </c>
      <c r="H260" t="s">
        <v>15</v>
      </c>
      <c r="I260">
        <f t="shared" si="22"/>
        <v>32365.472915445447</v>
      </c>
      <c r="J260">
        <v>2.14</v>
      </c>
      <c r="K260">
        <v>24</v>
      </c>
      <c r="L260" t="s">
        <v>15</v>
      </c>
      <c r="M260">
        <v>450</v>
      </c>
      <c r="N260">
        <v>179</v>
      </c>
      <c r="O260">
        <v>0.35699999999999998</v>
      </c>
      <c r="Q260" s="5">
        <f t="shared" si="19"/>
        <v>1.7656167502905524</v>
      </c>
      <c r="R260" s="2">
        <f>(0.18/1.5*MIN((1+SQRT(200/E260)),2)*(MIN(J260,2)*(K260-8))^(1/3))</f>
        <v>0.76195250494473565</v>
      </c>
      <c r="S260" s="2">
        <f>E260/1.15*IF(F260="k",(G260+4*E260)*PI(),IF(F260="q",4*G260+4*E260*PI(),2*G260+2*H260+4*E260*PI()))</f>
        <v>202195.63500473788</v>
      </c>
      <c r="T260" s="2">
        <f t="shared" si="20"/>
        <v>0.15406347058075151</v>
      </c>
      <c r="U260" s="4">
        <f t="shared" si="21"/>
        <v>2.3172267809771325</v>
      </c>
      <c r="V260" s="4"/>
      <c r="W260" s="4"/>
      <c r="X260" s="3"/>
      <c r="Y260" s="3"/>
      <c r="AB260" s="3"/>
    </row>
    <row r="261" spans="1:28" x14ac:dyDescent="0.45">
      <c r="A261" t="s">
        <v>14</v>
      </c>
      <c r="B261" t="s">
        <v>14</v>
      </c>
      <c r="C261" s="1">
        <v>0.68600000000000005</v>
      </c>
      <c r="D261">
        <v>152</v>
      </c>
      <c r="E261">
        <v>122</v>
      </c>
      <c r="F261" t="s">
        <v>14</v>
      </c>
      <c r="G261">
        <v>203</v>
      </c>
      <c r="H261" t="s">
        <v>15</v>
      </c>
      <c r="I261">
        <f t="shared" si="22"/>
        <v>32365.472915445447</v>
      </c>
      <c r="J261">
        <v>0.66</v>
      </c>
      <c r="K261">
        <v>24</v>
      </c>
      <c r="L261" t="s">
        <v>15</v>
      </c>
      <c r="M261">
        <v>450</v>
      </c>
      <c r="N261">
        <v>172</v>
      </c>
      <c r="O261">
        <v>0.27100000000000002</v>
      </c>
      <c r="Q261" s="5">
        <f t="shared" si="19"/>
        <v>1.1767369223645747</v>
      </c>
      <c r="R261" s="2">
        <f>(0.18/1.5*MIN((1+SQRT(200/E261)),2)*(MIN(J261,2)*(K261-8))^(1/3))</f>
        <v>0.52654142903353129</v>
      </c>
      <c r="S261" s="2">
        <f>E261/1.15*IF(F261="k",(G261+4*E261)*PI(),IF(F261="q",4*G261+4*E261*PI(),2*G261+2*H261+4*E261*PI()))</f>
        <v>230297.86424602327</v>
      </c>
      <c r="T261" s="2">
        <f t="shared" si="20"/>
        <v>0.12126136654347129</v>
      </c>
      <c r="U261" s="4">
        <f t="shared" si="21"/>
        <v>2.2348420418208677</v>
      </c>
      <c r="V261" s="4"/>
      <c r="W261" s="4"/>
      <c r="X261" s="3"/>
      <c r="Y261" s="3"/>
      <c r="AB261" s="3"/>
    </row>
    <row r="262" spans="1:28" x14ac:dyDescent="0.45">
      <c r="A262" t="s">
        <v>14</v>
      </c>
      <c r="B262" t="s">
        <v>14</v>
      </c>
      <c r="C262" s="1">
        <v>0.53300000000000003</v>
      </c>
      <c r="D262">
        <v>102</v>
      </c>
      <c r="E262">
        <v>73</v>
      </c>
      <c r="F262" t="s">
        <v>14</v>
      </c>
      <c r="G262">
        <v>152</v>
      </c>
      <c r="H262" t="s">
        <v>15</v>
      </c>
      <c r="I262">
        <f t="shared" si="22"/>
        <v>18145.839167134644</v>
      </c>
      <c r="J262">
        <v>5.01</v>
      </c>
      <c r="K262">
        <v>24.2</v>
      </c>
      <c r="L262" t="s">
        <v>15</v>
      </c>
      <c r="M262">
        <v>450</v>
      </c>
      <c r="N262">
        <v>172</v>
      </c>
      <c r="O262">
        <v>0.20200000000000001</v>
      </c>
      <c r="Q262" s="5">
        <f t="shared" si="19"/>
        <v>2.2813583413703125</v>
      </c>
      <c r="R262" s="2">
        <f>(0.18/1.5*MIN((1+SQRT(200/E262)),2)*(MIN(J262,2)*(K262-8))^(1/3))</f>
        <v>0.76511416981147984</v>
      </c>
      <c r="S262" s="2">
        <f>E262/1.15*IF(F262="k",(G262+4*E262)*PI(),IF(F262="q",4*G262+4*E262*PI(),2*G262+2*H262+4*E262*PI()))</f>
        <v>88543.740076654256</v>
      </c>
      <c r="T262" s="2">
        <f t="shared" si="20"/>
        <v>6.7746070180752779E-2</v>
      </c>
      <c r="U262" s="4">
        <f t="shared" si="21"/>
        <v>2.981722769469068</v>
      </c>
      <c r="V262" s="4"/>
      <c r="W262" s="4"/>
      <c r="X262" s="3"/>
      <c r="Y262" s="3"/>
      <c r="AB262" s="3"/>
    </row>
    <row r="263" spans="1:28" x14ac:dyDescent="0.45">
      <c r="A263" t="s">
        <v>14</v>
      </c>
      <c r="B263" t="s">
        <v>14</v>
      </c>
      <c r="C263" s="1">
        <v>0.53300000000000003</v>
      </c>
      <c r="D263">
        <v>102</v>
      </c>
      <c r="E263">
        <v>81</v>
      </c>
      <c r="F263" t="s">
        <v>14</v>
      </c>
      <c r="G263">
        <v>152</v>
      </c>
      <c r="H263" t="s">
        <v>15</v>
      </c>
      <c r="I263">
        <f t="shared" si="22"/>
        <v>18145.839167134644</v>
      </c>
      <c r="J263">
        <v>1.47</v>
      </c>
      <c r="K263">
        <v>24.2</v>
      </c>
      <c r="L263" t="s">
        <v>15</v>
      </c>
      <c r="M263">
        <v>450</v>
      </c>
      <c r="N263">
        <v>171</v>
      </c>
      <c r="O263">
        <v>0.16</v>
      </c>
      <c r="Q263" s="5">
        <f t="shared" si="19"/>
        <v>1.5190636751171667</v>
      </c>
      <c r="R263" s="2">
        <f>(0.18/1.5*MIN((1+SQRT(200/E263)),2)*(MIN(J263,2)*(K263-8))^(1/3))</f>
        <v>0.69048676427919675</v>
      </c>
      <c r="S263" s="2">
        <f>E263/1.15*IF(F263="k",(G263+4*E263)*PI(),IF(F263="q",4*G263+4*E263*PI(),2*G263+2*H263+4*E263*PI()))</f>
        <v>105328.04030592006</v>
      </c>
      <c r="T263" s="2">
        <f t="shared" si="20"/>
        <v>7.2727617738703551E-2</v>
      </c>
      <c r="U263" s="4">
        <f t="shared" si="21"/>
        <v>2.1999895634537276</v>
      </c>
      <c r="V263" s="4"/>
      <c r="W263" s="4"/>
      <c r="X263" s="3"/>
      <c r="Y263" s="3"/>
      <c r="AB263" s="3"/>
    </row>
    <row r="264" spans="1:28" x14ac:dyDescent="0.45">
      <c r="A264" t="s">
        <v>14</v>
      </c>
      <c r="B264" t="s">
        <v>14</v>
      </c>
      <c r="C264" s="1">
        <v>0.53300000000000003</v>
      </c>
      <c r="D264">
        <v>102</v>
      </c>
      <c r="E264">
        <v>86</v>
      </c>
      <c r="F264" t="s">
        <v>14</v>
      </c>
      <c r="G264">
        <v>152</v>
      </c>
      <c r="H264" t="s">
        <v>15</v>
      </c>
      <c r="I264">
        <f t="shared" si="22"/>
        <v>18145.839167134644</v>
      </c>
      <c r="J264">
        <v>0.45</v>
      </c>
      <c r="K264">
        <v>22.5</v>
      </c>
      <c r="L264" t="s">
        <v>15</v>
      </c>
      <c r="M264">
        <v>550</v>
      </c>
      <c r="N264">
        <v>171</v>
      </c>
      <c r="O264">
        <v>0.107</v>
      </c>
      <c r="Q264" s="5">
        <f t="shared" si="19"/>
        <v>0.91823029573601456</v>
      </c>
      <c r="R264" s="2">
        <f>(0.18/1.5*MIN((1+SQRT(200/E264)),2)*(MIN(J264,2)*(K264-8))^(1/3))</f>
        <v>0.44847483667728466</v>
      </c>
      <c r="S264" s="2">
        <f>E264/1.15*IF(F264="k",(G264+4*E264)*PI(),IF(F264="q",4*G264+4*E264*PI(),2*G264+2*H264+4*E264*PI()))</f>
        <v>116528.50107089238</v>
      </c>
      <c r="T264" s="2">
        <f t="shared" si="20"/>
        <v>5.2260100486017251E-2</v>
      </c>
      <c r="U264" s="4">
        <f t="shared" si="21"/>
        <v>2.0474510956715246</v>
      </c>
      <c r="V264" s="4"/>
      <c r="W264" s="4"/>
      <c r="X264" s="3"/>
      <c r="Y264" s="3"/>
      <c r="AB264" s="3"/>
    </row>
    <row r="265" spans="1:28" x14ac:dyDescent="0.45">
      <c r="A265" t="s">
        <v>14</v>
      </c>
      <c r="B265" t="s">
        <v>14</v>
      </c>
      <c r="C265" s="1">
        <v>0.53300000000000003</v>
      </c>
      <c r="D265">
        <v>102</v>
      </c>
      <c r="E265">
        <v>81</v>
      </c>
      <c r="F265" t="s">
        <v>14</v>
      </c>
      <c r="G265">
        <v>102</v>
      </c>
      <c r="H265" t="s">
        <v>15</v>
      </c>
      <c r="I265">
        <f t="shared" si="22"/>
        <v>8171.2824919870518</v>
      </c>
      <c r="J265">
        <v>1.47</v>
      </c>
      <c r="K265">
        <v>24.7</v>
      </c>
      <c r="L265" t="s">
        <v>15</v>
      </c>
      <c r="M265">
        <v>450</v>
      </c>
      <c r="N265">
        <v>179</v>
      </c>
      <c r="O265">
        <v>0.121</v>
      </c>
      <c r="Q265" s="5">
        <f t="shared" si="19"/>
        <v>1.2836266348598642</v>
      </c>
      <c r="R265" s="2">
        <f>(0.18/1.5*MIN((1+SQRT(200/E265)),2)*(MIN(J265,2)*(K265-8))^(1/3))</f>
        <v>0.69751868142818962</v>
      </c>
      <c r="S265" s="2">
        <f>E265/1.15*IF(F265="k",(G265+4*E265)*PI(),IF(F265="q",4*G265+4*E265*PI(),2*G265+2*H265+4*E265*PI()))</f>
        <v>94264.170525886439</v>
      </c>
      <c r="T265" s="2">
        <f t="shared" si="20"/>
        <v>6.5751019931138313E-2</v>
      </c>
      <c r="U265" s="4">
        <f t="shared" si="21"/>
        <v>1.8402756356741612</v>
      </c>
      <c r="V265" s="4"/>
      <c r="W265" s="4"/>
      <c r="X265" s="3"/>
      <c r="Y265" s="3"/>
      <c r="AB265" s="3"/>
    </row>
    <row r="266" spans="1:28" x14ac:dyDescent="0.45">
      <c r="A266" t="s">
        <v>14</v>
      </c>
      <c r="B266" t="s">
        <v>14</v>
      </c>
      <c r="C266" s="1">
        <v>0.68600000000000005</v>
      </c>
      <c r="D266">
        <v>152</v>
      </c>
      <c r="E266">
        <v>123</v>
      </c>
      <c r="F266" t="s">
        <v>14</v>
      </c>
      <c r="G266">
        <v>203</v>
      </c>
      <c r="H266" t="s">
        <v>15</v>
      </c>
      <c r="I266">
        <f t="shared" si="22"/>
        <v>32365.472915445447</v>
      </c>
      <c r="J266">
        <v>0.47</v>
      </c>
      <c r="K266">
        <v>21.4</v>
      </c>
      <c r="L266" t="s">
        <v>15</v>
      </c>
      <c r="M266">
        <v>414</v>
      </c>
      <c r="N266">
        <v>195</v>
      </c>
      <c r="O266">
        <v>0.27100000000000002</v>
      </c>
      <c r="Q266" s="5">
        <f t="shared" si="19"/>
        <v>1.1604524305922486</v>
      </c>
      <c r="R266" s="2">
        <f>(0.18/1.5*MIN((1+SQRT(200/E266)),2)*(MIN(J266,2)*(K266-8))^(1/3))</f>
        <v>0.44321262937159073</v>
      </c>
      <c r="S266" s="2">
        <f>E266/1.15*IF(F266="k",(G266+4*E266)*PI(),IF(F266="q",4*G266+4*E266*PI(),2*G266+2*H266+4*E266*PI()))</f>
        <v>233529.60694967257</v>
      </c>
      <c r="T266" s="2">
        <f t="shared" si="20"/>
        <v>0.10350327113227849</v>
      </c>
      <c r="U266" s="4">
        <f t="shared" si="21"/>
        <v>2.6182747369757871</v>
      </c>
      <c r="V266" s="4"/>
      <c r="W266" s="4"/>
      <c r="X266" s="3"/>
      <c r="Y266" s="3"/>
      <c r="AB266" s="3"/>
    </row>
    <row r="267" spans="1:28" x14ac:dyDescent="0.45">
      <c r="A267" t="s">
        <v>14</v>
      </c>
      <c r="B267" t="s">
        <v>14</v>
      </c>
      <c r="C267" s="1">
        <v>0.68600000000000005</v>
      </c>
      <c r="D267">
        <v>152</v>
      </c>
      <c r="E267">
        <v>113</v>
      </c>
      <c r="F267" t="s">
        <v>14</v>
      </c>
      <c r="G267">
        <v>203</v>
      </c>
      <c r="H267" t="s">
        <v>15</v>
      </c>
      <c r="I267">
        <f t="shared" si="22"/>
        <v>32365.472915445447</v>
      </c>
      <c r="J267">
        <v>2.14</v>
      </c>
      <c r="K267">
        <v>14.6</v>
      </c>
      <c r="L267" t="s">
        <v>15</v>
      </c>
      <c r="M267">
        <v>450</v>
      </c>
      <c r="N267">
        <v>196</v>
      </c>
      <c r="O267">
        <v>0.27800000000000002</v>
      </c>
      <c r="Q267" s="5">
        <f t="shared" si="19"/>
        <v>1.3749060408425033</v>
      </c>
      <c r="R267" s="2">
        <f>(0.18/1.5*MIN((1+SQRT(200/E267)),2)*(MIN(J267,2)*(K267-8))^(1/3))</f>
        <v>0.56719956022440055</v>
      </c>
      <c r="S267" s="2">
        <f>E267/1.15*IF(F267="k",(G267+4*E267)*PI(),IF(F267="q",4*G267+4*E267*PI(),2*G267+2*H267+4*E267*PI()))</f>
        <v>202195.63500473788</v>
      </c>
      <c r="T267" s="2">
        <f t="shared" si="20"/>
        <v>0.11468527525398074</v>
      </c>
      <c r="U267" s="4">
        <f t="shared" si="21"/>
        <v>2.4240252236770963</v>
      </c>
      <c r="V267" s="4"/>
      <c r="W267" s="4"/>
      <c r="X267" s="3"/>
      <c r="Y267" s="3"/>
      <c r="AB267" s="3"/>
    </row>
    <row r="268" spans="1:28" x14ac:dyDescent="0.45">
      <c r="A268" t="s">
        <v>14</v>
      </c>
      <c r="B268" t="s">
        <v>14</v>
      </c>
      <c r="C268" s="1">
        <v>0.68600000000000005</v>
      </c>
      <c r="D268">
        <v>152</v>
      </c>
      <c r="E268">
        <v>122</v>
      </c>
      <c r="F268" t="s">
        <v>14</v>
      </c>
      <c r="G268">
        <v>203</v>
      </c>
      <c r="H268" t="s">
        <v>15</v>
      </c>
      <c r="I268">
        <f t="shared" si="22"/>
        <v>32365.472915445447</v>
      </c>
      <c r="J268">
        <v>0.66</v>
      </c>
      <c r="K268">
        <v>15.6</v>
      </c>
      <c r="L268" t="s">
        <v>15</v>
      </c>
      <c r="M268">
        <v>450</v>
      </c>
      <c r="N268">
        <v>196</v>
      </c>
      <c r="O268">
        <v>0.23</v>
      </c>
      <c r="Q268" s="5">
        <f t="shared" si="19"/>
        <v>0.99870661307694508</v>
      </c>
      <c r="R268" s="2">
        <f>(0.18/1.5*MIN((1+SQRT(200/E268)),2)*(MIN(J268,2)*(K268-8))^(1/3))</f>
        <v>0.41083151493566888</v>
      </c>
      <c r="S268" s="2">
        <f>E268/1.15*IF(F268="k",(G268+4*E268)*PI(),IF(F268="q",4*G268+4*E268*PI(),2*G268+2*H268+4*E268*PI()))</f>
        <v>230297.86424602327</v>
      </c>
      <c r="T268" s="2">
        <f t="shared" si="20"/>
        <v>9.461362045464275E-2</v>
      </c>
      <c r="U268" s="4">
        <f t="shared" si="21"/>
        <v>2.4309396352744028</v>
      </c>
      <c r="V268" s="4"/>
      <c r="W268" s="4"/>
      <c r="X268" s="3"/>
      <c r="Y268" s="3"/>
      <c r="AB268" s="3"/>
    </row>
    <row r="269" spans="1:28" x14ac:dyDescent="0.45">
      <c r="A269" t="s">
        <v>14</v>
      </c>
      <c r="B269" t="s">
        <v>14</v>
      </c>
      <c r="C269" s="1">
        <v>0.53300000000000003</v>
      </c>
      <c r="D269">
        <v>102</v>
      </c>
      <c r="E269">
        <v>81</v>
      </c>
      <c r="F269" t="s">
        <v>14</v>
      </c>
      <c r="G269">
        <v>152</v>
      </c>
      <c r="H269" t="s">
        <v>15</v>
      </c>
      <c r="I269">
        <f t="shared" si="22"/>
        <v>18145.839167134644</v>
      </c>
      <c r="J269">
        <v>1.47</v>
      </c>
      <c r="K269">
        <v>14</v>
      </c>
      <c r="L269" t="s">
        <v>15</v>
      </c>
      <c r="M269">
        <v>450</v>
      </c>
      <c r="N269">
        <v>210</v>
      </c>
      <c r="O269">
        <v>0.108</v>
      </c>
      <c r="Q269" s="5">
        <f t="shared" si="19"/>
        <v>1.0253679807040874</v>
      </c>
      <c r="R269" s="2">
        <f>(0.18/1.5*MIN((1+SQRT(200/E269)),2)*(MIN(J269,2)*(K269-8))^(1/3))</f>
        <v>0.49586954599032329</v>
      </c>
      <c r="S269" s="2">
        <f>E269/1.15*IF(F269="k",(G269+4*E269)*PI(),IF(F269="q",4*G269+4*E269*PI(),2*G269+2*H269+4*E269*PI()))</f>
        <v>105328.04030592006</v>
      </c>
      <c r="T269" s="2">
        <f t="shared" si="20"/>
        <v>5.222896752654705E-2</v>
      </c>
      <c r="U269" s="4">
        <f t="shared" si="21"/>
        <v>2.0678180158377728</v>
      </c>
      <c r="V269" s="4"/>
      <c r="W269" s="4"/>
      <c r="X269" s="3"/>
      <c r="Y269" s="3"/>
      <c r="AB269" s="3"/>
    </row>
    <row r="270" spans="1:28" x14ac:dyDescent="0.45">
      <c r="A270" t="s">
        <v>14</v>
      </c>
      <c r="B270" t="s">
        <v>14</v>
      </c>
      <c r="C270" s="1">
        <v>0.53300000000000003</v>
      </c>
      <c r="D270">
        <v>102</v>
      </c>
      <c r="E270">
        <v>86</v>
      </c>
      <c r="F270" t="s">
        <v>14</v>
      </c>
      <c r="G270">
        <v>152</v>
      </c>
      <c r="H270" t="s">
        <v>15</v>
      </c>
      <c r="I270">
        <f t="shared" si="22"/>
        <v>18145.839167134644</v>
      </c>
      <c r="J270">
        <v>0.45</v>
      </c>
      <c r="K270">
        <v>13.7</v>
      </c>
      <c r="L270" t="s">
        <v>15</v>
      </c>
      <c r="M270">
        <v>550</v>
      </c>
      <c r="N270">
        <v>200</v>
      </c>
      <c r="O270">
        <v>6.9000000000000006E-2</v>
      </c>
      <c r="Q270" s="5">
        <f t="shared" si="19"/>
        <v>0.59212981687649546</v>
      </c>
      <c r="R270" s="2">
        <f>(0.18/1.5*MIN((1+SQRT(200/E270)),2)*(MIN(J270,2)*(K270-8))^(1/3))</f>
        <v>0.3285289897478616</v>
      </c>
      <c r="S270" s="2">
        <f>E270/1.15*IF(F270="k",(G270+4*E270)*PI(),IF(F270="q",4*G270+4*E270*PI(),2*G270+2*H270+4*E270*PI()))</f>
        <v>116528.50107089238</v>
      </c>
      <c r="T270" s="2">
        <f t="shared" si="20"/>
        <v>3.8282990733652884E-2</v>
      </c>
      <c r="U270" s="4">
        <f t="shared" si="21"/>
        <v>1.8023670219512176</v>
      </c>
      <c r="V270" s="4"/>
      <c r="W270" s="4"/>
      <c r="X270" s="3"/>
      <c r="Y270" s="3"/>
      <c r="AB270" s="3"/>
    </row>
    <row r="271" spans="1:28" x14ac:dyDescent="0.45">
      <c r="A271" t="s">
        <v>14</v>
      </c>
      <c r="B271" t="s">
        <v>14</v>
      </c>
      <c r="C271" s="1">
        <v>0.68600000000000005</v>
      </c>
      <c r="D271">
        <v>152</v>
      </c>
      <c r="E271">
        <v>122</v>
      </c>
      <c r="F271" t="s">
        <v>14</v>
      </c>
      <c r="G271">
        <v>203</v>
      </c>
      <c r="H271" t="s">
        <v>15</v>
      </c>
      <c r="I271">
        <f t="shared" si="22"/>
        <v>32365.472915445447</v>
      </c>
      <c r="J271">
        <v>0.66</v>
      </c>
      <c r="K271">
        <v>50.5</v>
      </c>
      <c r="L271" t="s">
        <v>15</v>
      </c>
      <c r="M271">
        <v>450</v>
      </c>
      <c r="N271">
        <v>200</v>
      </c>
      <c r="O271">
        <v>0.307</v>
      </c>
      <c r="Q271" s="5">
        <f t="shared" si="19"/>
        <v>1.3330562183244441</v>
      </c>
      <c r="R271" s="2">
        <f>(0.18/1.5*MIN((1+SQRT(200/E271)),2)*(MIN(J271,2)*(K271-8))^(1/3))</f>
        <v>0.72921489371722426</v>
      </c>
      <c r="S271" s="2">
        <f>E271/1.15*IF(F271="k",(G271+4*E271)*PI(),IF(F271="q",4*G271+4*E271*PI(),2*G271+2*H271+4*E271*PI()))</f>
        <v>230297.86424602327</v>
      </c>
      <c r="T271" s="2">
        <f t="shared" si="20"/>
        <v>0.16793663259946759</v>
      </c>
      <c r="U271" s="4">
        <f t="shared" si="21"/>
        <v>1.828070476631513</v>
      </c>
      <c r="V271" s="4"/>
      <c r="W271" s="4"/>
      <c r="X271" s="3"/>
      <c r="Y271" s="3"/>
      <c r="AB271" s="3"/>
    </row>
    <row r="272" spans="1:28" x14ac:dyDescent="0.45">
      <c r="A272" t="s">
        <v>14</v>
      </c>
      <c r="B272" t="s">
        <v>14</v>
      </c>
      <c r="C272" s="1">
        <v>0.68600000000000005</v>
      </c>
      <c r="D272">
        <v>102</v>
      </c>
      <c r="E272">
        <v>73</v>
      </c>
      <c r="F272" t="s">
        <v>14</v>
      </c>
      <c r="G272">
        <v>203</v>
      </c>
      <c r="H272" t="s">
        <v>15</v>
      </c>
      <c r="I272">
        <f t="shared" si="22"/>
        <v>32365.472915445447</v>
      </c>
      <c r="J272">
        <v>5.01</v>
      </c>
      <c r="K272">
        <v>50.5</v>
      </c>
      <c r="L272" t="s">
        <v>15</v>
      </c>
      <c r="M272">
        <v>450</v>
      </c>
      <c r="N272">
        <v>200</v>
      </c>
      <c r="O272">
        <v>0.32300000000000001</v>
      </c>
      <c r="Q272" s="5">
        <f t="shared" si="19"/>
        <v>3.2720688314091331</v>
      </c>
      <c r="R272" s="2">
        <f>(0.18/1.5*MIN((1+SQRT(200/E272)),2)*(MIN(J272,2)*(K272-8))^(1/3))</f>
        <v>1.055239121317963</v>
      </c>
      <c r="S272" s="2">
        <f>E272/1.15*IF(F272="k",(G272+4*E272)*PI(),IF(F272="q",4*G272+4*E272*PI(),2*G272+2*H272+4*E272*PI()))</f>
        <v>98714.304815188865</v>
      </c>
      <c r="T272" s="2">
        <f t="shared" si="20"/>
        <v>0.10416719627469348</v>
      </c>
      <c r="U272" s="4">
        <f t="shared" si="21"/>
        <v>3.100784234877886</v>
      </c>
      <c r="V272" s="4"/>
      <c r="W272" s="4"/>
      <c r="X272" s="3"/>
      <c r="Y272" s="3"/>
      <c r="AB272" s="3"/>
    </row>
    <row r="273" spans="1:28" x14ac:dyDescent="0.45">
      <c r="A273" t="s">
        <v>14</v>
      </c>
      <c r="B273" t="s">
        <v>14</v>
      </c>
      <c r="C273" s="1">
        <v>0.53300000000000003</v>
      </c>
      <c r="D273">
        <v>102</v>
      </c>
      <c r="E273">
        <v>81</v>
      </c>
      <c r="F273" t="s">
        <v>14</v>
      </c>
      <c r="G273">
        <v>152</v>
      </c>
      <c r="H273" t="s">
        <v>15</v>
      </c>
      <c r="I273">
        <f t="shared" si="22"/>
        <v>18145.839167134644</v>
      </c>
      <c r="J273">
        <v>1.47</v>
      </c>
      <c r="K273">
        <v>50.5</v>
      </c>
      <c r="L273" t="s">
        <v>15</v>
      </c>
      <c r="M273">
        <v>450</v>
      </c>
      <c r="N273">
        <v>200</v>
      </c>
      <c r="O273">
        <v>0.24299999999999999</v>
      </c>
      <c r="Q273" s="5">
        <f t="shared" si="19"/>
        <v>2.3070779565841968</v>
      </c>
      <c r="R273" s="2">
        <f>(0.18/1.5*MIN((1+SQRT(200/E273)),2)*(MIN(J273,2)*(K273-8))^(1/3))</f>
        <v>0.95231362216072069</v>
      </c>
      <c r="S273" s="2">
        <f>E273/1.15*IF(F273="k",(G273+4*E273)*PI(),IF(F273="q",4*G273+4*E273*PI(),2*G273+2*H273+4*E273*PI()))</f>
        <v>105328.04030592006</v>
      </c>
      <c r="T273" s="2">
        <f t="shared" si="20"/>
        <v>0.10030532757882112</v>
      </c>
      <c r="U273" s="4">
        <f t="shared" si="21"/>
        <v>2.4226031245354114</v>
      </c>
      <c r="V273" s="4"/>
      <c r="W273" s="4"/>
      <c r="X273" s="3"/>
      <c r="Y273" s="3"/>
      <c r="AB273" s="3"/>
    </row>
    <row r="274" spans="1:28" x14ac:dyDescent="0.45">
      <c r="A274" t="s">
        <v>14</v>
      </c>
      <c r="B274" t="s">
        <v>14</v>
      </c>
      <c r="C274" s="1">
        <v>0.53300000000000003</v>
      </c>
      <c r="D274">
        <v>102</v>
      </c>
      <c r="E274">
        <v>86</v>
      </c>
      <c r="F274" t="s">
        <v>14</v>
      </c>
      <c r="G274">
        <v>152</v>
      </c>
      <c r="H274" t="s">
        <v>15</v>
      </c>
      <c r="I274">
        <f t="shared" si="22"/>
        <v>18145.839167134644</v>
      </c>
      <c r="J274">
        <v>0.45</v>
      </c>
      <c r="K274">
        <v>50.5</v>
      </c>
      <c r="L274" t="s">
        <v>15</v>
      </c>
      <c r="M274">
        <v>550</v>
      </c>
      <c r="N274">
        <v>200</v>
      </c>
      <c r="O274">
        <v>0.14799999999999999</v>
      </c>
      <c r="Q274" s="5">
        <f t="shared" si="19"/>
        <v>1.2700755492423379</v>
      </c>
      <c r="R274" s="2">
        <f>(0.18/1.5*MIN((1+SQRT(200/E274)),2)*(MIN(J274,2)*(K274-8))^(1/3))</f>
        <v>0.64181774894872357</v>
      </c>
      <c r="S274" s="2">
        <f>E274/1.15*IF(F274="k",(G274+4*E274)*PI(),IF(F274="q",4*G274+4*E274*PI(),2*G274+2*H274+4*E274*PI()))</f>
        <v>116528.50107089238</v>
      </c>
      <c r="T274" s="2">
        <f t="shared" si="20"/>
        <v>7.4790060245689072E-2</v>
      </c>
      <c r="U274" s="4">
        <f t="shared" si="21"/>
        <v>1.9788725869963553</v>
      </c>
      <c r="V274" s="4"/>
      <c r="W274" s="4"/>
      <c r="X274" s="3"/>
      <c r="Y274" s="3"/>
      <c r="AB274" s="3"/>
    </row>
    <row r="275" spans="1:28" x14ac:dyDescent="0.45">
      <c r="A275" t="s">
        <v>14</v>
      </c>
      <c r="B275" t="s">
        <v>14</v>
      </c>
      <c r="C275" s="1">
        <v>0.38100000000000001</v>
      </c>
      <c r="D275">
        <v>51</v>
      </c>
      <c r="E275">
        <v>38</v>
      </c>
      <c r="F275" t="s">
        <v>14</v>
      </c>
      <c r="G275">
        <v>203</v>
      </c>
      <c r="H275" t="s">
        <v>15</v>
      </c>
      <c r="I275">
        <f t="shared" si="22"/>
        <v>32365.472915445447</v>
      </c>
      <c r="J275">
        <v>2.04</v>
      </c>
      <c r="K275">
        <v>50.5</v>
      </c>
      <c r="L275" t="s">
        <v>15</v>
      </c>
      <c r="M275">
        <v>550</v>
      </c>
      <c r="N275">
        <v>200</v>
      </c>
      <c r="O275">
        <v>7.3999999999999996E-2</v>
      </c>
      <c r="Q275" s="5">
        <f t="shared" si="19"/>
        <v>2.008018629669428</v>
      </c>
      <c r="R275" s="2">
        <f>(0.18/1.5*MIN((1+SQRT(200/E275)),2)*(MIN(J275,2)*(K275-8))^(1/3))</f>
        <v>1.055239121317963</v>
      </c>
      <c r="S275" s="2">
        <f>E275/1.15*IF(F275="k",(G275+4*E275)*PI(),IF(F275="q",4*G275+4*E275*PI(),2*G275+2*H275+4*E275*PI()))</f>
        <v>36852.247736457663</v>
      </c>
      <c r="T275" s="2">
        <f t="shared" si="20"/>
        <v>3.8887933520011471E-2</v>
      </c>
      <c r="U275" s="4">
        <f t="shared" si="21"/>
        <v>1.9029038907896736</v>
      </c>
      <c r="V275" s="4"/>
      <c r="W275" s="4"/>
      <c r="X275" s="3"/>
      <c r="Y275" s="3"/>
      <c r="AB275" s="3"/>
    </row>
    <row r="276" spans="1:28" x14ac:dyDescent="0.45">
      <c r="A276" t="s">
        <v>14</v>
      </c>
      <c r="B276" t="s">
        <v>14</v>
      </c>
      <c r="C276" s="1">
        <v>0.38100000000000001</v>
      </c>
      <c r="D276">
        <v>51</v>
      </c>
      <c r="E276">
        <v>38</v>
      </c>
      <c r="F276" t="s">
        <v>14</v>
      </c>
      <c r="G276">
        <v>152</v>
      </c>
      <c r="H276" t="s">
        <v>15</v>
      </c>
      <c r="I276">
        <f t="shared" si="22"/>
        <v>18145.839167134644</v>
      </c>
      <c r="J276">
        <v>2.04</v>
      </c>
      <c r="K276">
        <v>50.5</v>
      </c>
      <c r="L276" t="s">
        <v>15</v>
      </c>
      <c r="M276">
        <v>550</v>
      </c>
      <c r="N276">
        <v>200</v>
      </c>
      <c r="O276">
        <v>7.0000000000000007E-2</v>
      </c>
      <c r="Q276" s="5">
        <f t="shared" si="19"/>
        <v>2.2181393557648152</v>
      </c>
      <c r="R276" s="2">
        <f>(0.18/1.5*MIN((1+SQRT(200/E276)),2)*(MIN(J276,2)*(K276-8))^(1/3))</f>
        <v>1.055239121317963</v>
      </c>
      <c r="S276" s="2">
        <f>E276/1.15*IF(F276="k",(G276+4*E276)*PI(),IF(F276="q",4*G276+4*E276*PI(),2*G276+2*H276+4*E276*PI()))</f>
        <v>31557.981160234169</v>
      </c>
      <c r="T276" s="2">
        <f t="shared" si="20"/>
        <v>3.3301216310094334E-2</v>
      </c>
      <c r="U276" s="4">
        <f t="shared" si="21"/>
        <v>2.102025323885286</v>
      </c>
      <c r="V276" s="4"/>
      <c r="W276" s="4"/>
      <c r="X276" s="3"/>
      <c r="Y276" s="3"/>
      <c r="AB276" s="3"/>
    </row>
    <row r="277" spans="1:28" x14ac:dyDescent="0.45">
      <c r="A277" t="s">
        <v>18</v>
      </c>
      <c r="B277" t="s">
        <v>17</v>
      </c>
      <c r="C277" s="1">
        <v>0.64</v>
      </c>
      <c r="D277">
        <v>51</v>
      </c>
      <c r="E277">
        <v>41</v>
      </c>
      <c r="F277" t="s">
        <v>17</v>
      </c>
      <c r="G277">
        <v>100</v>
      </c>
      <c r="H277" t="s">
        <v>15</v>
      </c>
      <c r="I277">
        <f t="shared" si="22"/>
        <v>10000</v>
      </c>
      <c r="J277">
        <v>0.82</v>
      </c>
      <c r="K277">
        <v>34.299999999999997</v>
      </c>
      <c r="L277" t="s">
        <v>15</v>
      </c>
      <c r="M277">
        <v>530</v>
      </c>
      <c r="N277">
        <v>210</v>
      </c>
      <c r="O277">
        <v>5.6000000000000001E-2</v>
      </c>
      <c r="Q277" s="5">
        <f t="shared" si="19"/>
        <v>1.7162317869978694</v>
      </c>
      <c r="R277" s="2">
        <f>(0.18/1.5*MIN((1+SQRT(200/E277)),2)*(MIN(J277,2)*(K277-8))^(1/3))</f>
        <v>0.66803791004805746</v>
      </c>
      <c r="S277" s="2">
        <f>E277/1.15*IF(F277="k",(G277+4*E277)*PI(),IF(F277="q",4*G277+4*E277*PI(),2*G277+2*H277+4*E277*PI()))</f>
        <v>32629.625219771977</v>
      </c>
      <c r="T277" s="2">
        <f t="shared" si="20"/>
        <v>2.1797826637467859E-2</v>
      </c>
      <c r="U277" s="4">
        <f t="shared" si="21"/>
        <v>2.5690634635905716</v>
      </c>
      <c r="V277" s="4"/>
      <c r="W277" s="4"/>
      <c r="X277" s="3"/>
      <c r="Y277" s="3"/>
      <c r="AB277" s="3"/>
    </row>
    <row r="278" spans="1:28" x14ac:dyDescent="0.45">
      <c r="A278" t="s">
        <v>18</v>
      </c>
      <c r="B278" t="s">
        <v>17</v>
      </c>
      <c r="C278" s="1">
        <v>0.64</v>
      </c>
      <c r="D278">
        <v>51</v>
      </c>
      <c r="E278">
        <v>41</v>
      </c>
      <c r="F278" t="s">
        <v>17</v>
      </c>
      <c r="G278">
        <v>100</v>
      </c>
      <c r="H278" t="s">
        <v>15</v>
      </c>
      <c r="I278">
        <f t="shared" si="22"/>
        <v>10000</v>
      </c>
      <c r="J278">
        <v>0.88</v>
      </c>
      <c r="K278">
        <v>34.299999999999997</v>
      </c>
      <c r="L278" t="s">
        <v>15</v>
      </c>
      <c r="M278">
        <v>530</v>
      </c>
      <c r="N278">
        <v>210</v>
      </c>
      <c r="O278">
        <v>5.7000000000000002E-2</v>
      </c>
      <c r="Q278" s="5">
        <f t="shared" si="19"/>
        <v>1.7468787831942598</v>
      </c>
      <c r="R278" s="2">
        <f>(0.18/1.5*MIN((1+SQRT(200/E278)),2)*(MIN(J278,2)*(K278-8))^(1/3))</f>
        <v>0.68394951920462355</v>
      </c>
      <c r="S278" s="2">
        <f>E278/1.15*IF(F278="k",(G278+4*E278)*PI(),IF(F278="q",4*G278+4*E278*PI(),2*G278+2*H278+4*E278*PI()))</f>
        <v>32629.625219771977</v>
      </c>
      <c r="T278" s="2">
        <f t="shared" si="20"/>
        <v>2.2317016480890104E-2</v>
      </c>
      <c r="U278" s="4">
        <f t="shared" si="21"/>
        <v>2.5541048485942861</v>
      </c>
      <c r="V278" s="4"/>
      <c r="W278" s="4"/>
      <c r="X278" s="3"/>
      <c r="Y278" s="3"/>
      <c r="AB278" s="3"/>
    </row>
    <row r="279" spans="1:28" x14ac:dyDescent="0.45">
      <c r="A279" t="s">
        <v>18</v>
      </c>
      <c r="B279" t="s">
        <v>17</v>
      </c>
      <c r="C279" s="1">
        <v>0.64</v>
      </c>
      <c r="D279">
        <v>51</v>
      </c>
      <c r="E279">
        <v>41</v>
      </c>
      <c r="F279" t="s">
        <v>17</v>
      </c>
      <c r="G279">
        <v>100</v>
      </c>
      <c r="H279" t="s">
        <v>15</v>
      </c>
      <c r="I279">
        <f t="shared" si="22"/>
        <v>10000</v>
      </c>
      <c r="J279">
        <v>1.03</v>
      </c>
      <c r="K279">
        <v>34.299999999999997</v>
      </c>
      <c r="L279" t="s">
        <v>15</v>
      </c>
      <c r="M279">
        <v>530</v>
      </c>
      <c r="N279">
        <v>210</v>
      </c>
      <c r="O279">
        <v>6.6000000000000003E-2</v>
      </c>
      <c r="Q279" s="5">
        <f t="shared" si="19"/>
        <v>2.0227017489617749</v>
      </c>
      <c r="R279" s="2">
        <f>(0.18/1.5*MIN((1+SQRT(200/E279)),2)*(MIN(J279,2)*(K279-8))^(1/3))</f>
        <v>0.72079024345390785</v>
      </c>
      <c r="S279" s="2">
        <f>E279/1.15*IF(F279="k",(G279+4*E279)*PI(),IF(F279="q",4*G279+4*E279*PI(),2*G279+2*H279+4*E279*PI()))</f>
        <v>32629.625219771977</v>
      </c>
      <c r="T279" s="2">
        <f t="shared" si="20"/>
        <v>2.3519115505969215E-2</v>
      </c>
      <c r="U279" s="4">
        <f t="shared" si="21"/>
        <v>2.8062279800976797</v>
      </c>
      <c r="V279" s="4"/>
      <c r="W279" s="4"/>
      <c r="X279" s="3"/>
      <c r="Y279" s="3"/>
      <c r="AB279" s="3"/>
    </row>
    <row r="280" spans="1:28" x14ac:dyDescent="0.45">
      <c r="A280" t="s">
        <v>18</v>
      </c>
      <c r="B280" t="s">
        <v>17</v>
      </c>
      <c r="C280" s="1">
        <v>0.64</v>
      </c>
      <c r="D280">
        <v>51</v>
      </c>
      <c r="E280">
        <v>41</v>
      </c>
      <c r="F280" t="s">
        <v>17</v>
      </c>
      <c r="G280">
        <v>100</v>
      </c>
      <c r="H280" t="s">
        <v>15</v>
      </c>
      <c r="I280">
        <f t="shared" si="22"/>
        <v>10000</v>
      </c>
      <c r="J280">
        <v>1.1599999999999999</v>
      </c>
      <c r="K280">
        <v>29.3</v>
      </c>
      <c r="L280" t="s">
        <v>15</v>
      </c>
      <c r="M280">
        <v>530</v>
      </c>
      <c r="N280">
        <v>210</v>
      </c>
      <c r="O280">
        <v>7.0999999999999994E-2</v>
      </c>
      <c r="Q280" s="5">
        <f t="shared" si="19"/>
        <v>2.1759367299437269</v>
      </c>
      <c r="R280" s="2">
        <f>(0.18/1.5*MIN((1+SQRT(200/E280)),2)*(MIN(J280,2)*(K280-8))^(1/3))</f>
        <v>0.69902134805584681</v>
      </c>
      <c r="S280" s="2">
        <f>E280/1.15*IF(F280="k",(G280+4*E280)*PI(),IF(F280="q",4*G280+4*E280*PI(),2*G280+2*H280+4*E280*PI()))</f>
        <v>32629.625219771977</v>
      </c>
      <c r="T280" s="2">
        <f t="shared" si="20"/>
        <v>2.2808804607682066E-2</v>
      </c>
      <c r="U280" s="4">
        <f t="shared" si="21"/>
        <v>3.1128330143214522</v>
      </c>
      <c r="V280" s="4"/>
      <c r="W280" s="4"/>
      <c r="X280" s="3"/>
      <c r="Y280" s="3"/>
      <c r="AB280" s="3"/>
    </row>
    <row r="281" spans="1:28" x14ac:dyDescent="0.45">
      <c r="A281" t="s">
        <v>18</v>
      </c>
      <c r="B281" t="s">
        <v>17</v>
      </c>
      <c r="C281" s="1">
        <v>0.64</v>
      </c>
      <c r="D281">
        <v>51</v>
      </c>
      <c r="E281">
        <v>41</v>
      </c>
      <c r="F281" t="s">
        <v>17</v>
      </c>
      <c r="G281">
        <v>100</v>
      </c>
      <c r="H281" t="s">
        <v>15</v>
      </c>
      <c r="I281">
        <f t="shared" si="22"/>
        <v>10000</v>
      </c>
      <c r="J281">
        <v>1.29</v>
      </c>
      <c r="K281">
        <v>29.3</v>
      </c>
      <c r="L281" t="s">
        <v>15</v>
      </c>
      <c r="M281">
        <v>530</v>
      </c>
      <c r="N281">
        <v>210</v>
      </c>
      <c r="O281">
        <v>7.0999999999999994E-2</v>
      </c>
      <c r="Q281" s="5">
        <f t="shared" si="19"/>
        <v>2.1759367299437269</v>
      </c>
      <c r="R281" s="2">
        <f>(0.18/1.5*MIN((1+SQRT(200/E281)),2)*(MIN(J281,2)*(K281-8))^(1/3))</f>
        <v>0.72421527332669755</v>
      </c>
      <c r="S281" s="2">
        <f>E281/1.15*IF(F281="k",(G281+4*E281)*PI(),IF(F281="q",4*G281+4*E281*PI(),2*G281+2*H281+4*E281*PI()))</f>
        <v>32629.625219771977</v>
      </c>
      <c r="T281" s="2">
        <f t="shared" si="20"/>
        <v>2.3630872947084866E-2</v>
      </c>
      <c r="U281" s="4">
        <f t="shared" si="21"/>
        <v>3.0045441046120405</v>
      </c>
      <c r="V281" s="4"/>
      <c r="W281" s="4"/>
      <c r="X281" s="3"/>
      <c r="Y281" s="3"/>
      <c r="AB281" s="3"/>
    </row>
    <row r="282" spans="1:28" x14ac:dyDescent="0.45">
      <c r="A282" t="s">
        <v>18</v>
      </c>
      <c r="B282" t="s">
        <v>17</v>
      </c>
      <c r="C282" s="1">
        <v>0.64</v>
      </c>
      <c r="D282">
        <v>51</v>
      </c>
      <c r="E282">
        <v>41</v>
      </c>
      <c r="F282" t="s">
        <v>17</v>
      </c>
      <c r="G282">
        <v>100</v>
      </c>
      <c r="H282" t="s">
        <v>15</v>
      </c>
      <c r="I282">
        <f t="shared" si="22"/>
        <v>10000</v>
      </c>
      <c r="J282">
        <v>1.45</v>
      </c>
      <c r="K282">
        <v>29.3</v>
      </c>
      <c r="L282" t="s">
        <v>15</v>
      </c>
      <c r="M282">
        <v>530</v>
      </c>
      <c r="N282">
        <v>210</v>
      </c>
      <c r="O282">
        <v>7.9000000000000001E-2</v>
      </c>
      <c r="Q282" s="5">
        <f t="shared" si="19"/>
        <v>2.4211126995148513</v>
      </c>
      <c r="R282" s="2">
        <f>(0.18/1.5*MIN((1+SQRT(200/E282)),2)*(MIN(J282,2)*(K282-8))^(1/3))</f>
        <v>0.75299792066218396</v>
      </c>
      <c r="S282" s="2">
        <f>E282/1.15*IF(F282="k",(G282+4*E282)*PI(),IF(F282="q",4*G282+4*E282*PI(),2*G282+2*H282+4*E282*PI()))</f>
        <v>32629.625219771977</v>
      </c>
      <c r="T282" s="2">
        <f t="shared" si="20"/>
        <v>2.4570039942474656E-2</v>
      </c>
      <c r="U282" s="4">
        <f t="shared" si="21"/>
        <v>3.2152979883207813</v>
      </c>
      <c r="V282" s="4"/>
      <c r="W282" s="4"/>
      <c r="X282" s="3"/>
      <c r="Y282" s="3"/>
      <c r="AB282" s="3"/>
    </row>
    <row r="283" spans="1:28" x14ac:dyDescent="0.45">
      <c r="A283" t="s">
        <v>18</v>
      </c>
      <c r="B283" t="s">
        <v>17</v>
      </c>
      <c r="C283" s="1">
        <v>0.64</v>
      </c>
      <c r="D283">
        <v>51</v>
      </c>
      <c r="E283">
        <v>41</v>
      </c>
      <c r="F283" t="s">
        <v>17</v>
      </c>
      <c r="G283">
        <v>100</v>
      </c>
      <c r="H283" t="s">
        <v>15</v>
      </c>
      <c r="I283">
        <f t="shared" si="22"/>
        <v>10000</v>
      </c>
      <c r="J283">
        <v>0.8</v>
      </c>
      <c r="K283">
        <v>29.5</v>
      </c>
      <c r="L283" t="s">
        <v>15</v>
      </c>
      <c r="M283">
        <v>530</v>
      </c>
      <c r="N283">
        <v>210</v>
      </c>
      <c r="O283">
        <v>5.5E-2</v>
      </c>
      <c r="Q283" s="5">
        <f t="shared" si="19"/>
        <v>1.6855847908014787</v>
      </c>
      <c r="R283" s="2">
        <f>(0.18/1.5*MIN((1+SQRT(200/E283)),2)*(MIN(J283,2)*(K283-8))^(1/3))</f>
        <v>0.61951818272353565</v>
      </c>
      <c r="S283" s="2">
        <f>E283/1.15*IF(F283="k",(G283+4*E283)*PI(),IF(F283="q",4*G283+4*E283*PI(),2*G283+2*H283+4*E283*PI()))</f>
        <v>32629.625219771977</v>
      </c>
      <c r="T283" s="2">
        <f t="shared" si="20"/>
        <v>2.0214646119103181E-2</v>
      </c>
      <c r="U283" s="4">
        <f t="shared" si="21"/>
        <v>2.7207995468208606</v>
      </c>
      <c r="V283" s="4"/>
      <c r="W283" s="4"/>
      <c r="X283" s="3"/>
      <c r="Y283" s="3"/>
      <c r="AB283" s="3"/>
    </row>
    <row r="284" spans="1:28" x14ac:dyDescent="0.45">
      <c r="A284" t="s">
        <v>18</v>
      </c>
      <c r="B284" t="s">
        <v>17</v>
      </c>
      <c r="C284" s="1">
        <v>0.64</v>
      </c>
      <c r="D284">
        <v>51</v>
      </c>
      <c r="E284">
        <v>41</v>
      </c>
      <c r="F284" t="s">
        <v>17</v>
      </c>
      <c r="G284">
        <v>100</v>
      </c>
      <c r="H284" t="s">
        <v>15</v>
      </c>
      <c r="I284">
        <f t="shared" si="22"/>
        <v>10000</v>
      </c>
      <c r="J284">
        <v>1.1100000000000001</v>
      </c>
      <c r="K284">
        <v>29.5</v>
      </c>
      <c r="L284" t="s">
        <v>15</v>
      </c>
      <c r="M284">
        <v>530</v>
      </c>
      <c r="N284">
        <v>210</v>
      </c>
      <c r="O284">
        <v>6.7000000000000004E-2</v>
      </c>
      <c r="Q284" s="5">
        <f t="shared" si="19"/>
        <v>2.0533487451581651</v>
      </c>
      <c r="R284" s="2">
        <f>(0.18/1.5*MIN((1+SQRT(200/E284)),2)*(MIN(J284,2)*(K284-8))^(1/3))</f>
        <v>0.69097932770387727</v>
      </c>
      <c r="S284" s="2">
        <f>E284/1.15*IF(F284="k",(G284+4*E284)*PI(),IF(F284="q",4*G284+4*E284*PI(),2*G284+2*H284+4*E284*PI()))</f>
        <v>32629.625219771977</v>
      </c>
      <c r="T284" s="2">
        <f t="shared" si="20"/>
        <v>2.254639649758752E-2</v>
      </c>
      <c r="U284" s="4">
        <f t="shared" si="21"/>
        <v>2.9716500376088502</v>
      </c>
      <c r="V284" s="4"/>
      <c r="W284" s="4"/>
      <c r="X284" s="3"/>
      <c r="Y284" s="3"/>
      <c r="AB284" s="3"/>
    </row>
    <row r="285" spans="1:28" x14ac:dyDescent="0.45">
      <c r="A285" t="s">
        <v>18</v>
      </c>
      <c r="B285" t="s">
        <v>17</v>
      </c>
      <c r="C285" s="1">
        <v>0.64</v>
      </c>
      <c r="D285">
        <v>51</v>
      </c>
      <c r="E285">
        <v>41</v>
      </c>
      <c r="F285" t="s">
        <v>17</v>
      </c>
      <c r="G285">
        <v>100</v>
      </c>
      <c r="H285" t="s">
        <v>15</v>
      </c>
      <c r="I285">
        <f t="shared" si="22"/>
        <v>10000</v>
      </c>
      <c r="J285">
        <v>1.99</v>
      </c>
      <c r="K285">
        <v>33.6</v>
      </c>
      <c r="L285" t="s">
        <v>15</v>
      </c>
      <c r="M285">
        <v>530</v>
      </c>
      <c r="N285">
        <v>210</v>
      </c>
      <c r="O285">
        <v>8.5000000000000006E-2</v>
      </c>
      <c r="Q285" s="5">
        <f t="shared" si="19"/>
        <v>2.6049946766931944</v>
      </c>
      <c r="R285" s="2">
        <f>(0.18/1.5*MIN((1+SQRT(200/E285)),2)*(MIN(J285,2)*(K285-8))^(1/3))</f>
        <v>0.88969726521341908</v>
      </c>
      <c r="S285" s="2">
        <f>E285/1.15*IF(F285="k",(G285+4*E285)*PI(),IF(F285="q",4*G285+4*E285*PI(),2*G285+2*H285+4*E285*PI()))</f>
        <v>32629.625219771977</v>
      </c>
      <c r="T285" s="2">
        <f t="shared" si="20"/>
        <v>2.9030488322969936E-2</v>
      </c>
      <c r="U285" s="4">
        <f t="shared" si="21"/>
        <v>2.9279562594455237</v>
      </c>
      <c r="V285" s="4"/>
      <c r="W285" s="4"/>
      <c r="X285" s="3"/>
      <c r="Y285" s="3"/>
      <c r="AB285" s="3"/>
    </row>
    <row r="286" spans="1:28" x14ac:dyDescent="0.45">
      <c r="A286" t="s">
        <v>18</v>
      </c>
      <c r="B286" t="s">
        <v>17</v>
      </c>
      <c r="C286" s="1">
        <v>0.64</v>
      </c>
      <c r="D286">
        <v>57</v>
      </c>
      <c r="E286">
        <v>47</v>
      </c>
      <c r="F286" t="s">
        <v>17</v>
      </c>
      <c r="G286">
        <v>100</v>
      </c>
      <c r="H286" t="s">
        <v>15</v>
      </c>
      <c r="I286">
        <f t="shared" si="22"/>
        <v>10000</v>
      </c>
      <c r="J286">
        <v>0.69</v>
      </c>
      <c r="K286">
        <v>28.4</v>
      </c>
      <c r="L286" t="s">
        <v>15</v>
      </c>
      <c r="M286">
        <v>530</v>
      </c>
      <c r="N286">
        <v>210</v>
      </c>
      <c r="O286">
        <v>6.6000000000000003E-2</v>
      </c>
      <c r="Q286" s="5">
        <f t="shared" si="19"/>
        <v>1.6301857062881218</v>
      </c>
      <c r="R286" s="2">
        <f>(0.18/1.5*MIN((1+SQRT(200/E286)),2)*(MIN(J286,2)*(K286-8))^(1/3))</f>
        <v>0.57947894543717116</v>
      </c>
      <c r="S286" s="2">
        <f>E286/1.15*IF(F286="k",(G286+4*E286)*PI(),IF(F286="q",4*G286+4*E286*PI(),2*G286+2*H286+4*E286*PI()))</f>
        <v>40486.184945321227</v>
      </c>
      <c r="T286" s="2">
        <f t="shared" si="20"/>
        <v>2.3460891756889021E-2</v>
      </c>
      <c r="U286" s="4">
        <f t="shared" si="21"/>
        <v>2.8131922982262538</v>
      </c>
      <c r="V286" s="4"/>
      <c r="W286" s="4"/>
      <c r="X286" s="3"/>
      <c r="Y286" s="3"/>
      <c r="AB286" s="3"/>
    </row>
    <row r="287" spans="1:28" x14ac:dyDescent="0.45">
      <c r="A287" t="s">
        <v>18</v>
      </c>
      <c r="B287" t="s">
        <v>17</v>
      </c>
      <c r="C287" s="1">
        <v>0.64</v>
      </c>
      <c r="D287">
        <v>57</v>
      </c>
      <c r="E287">
        <v>47</v>
      </c>
      <c r="F287" t="s">
        <v>17</v>
      </c>
      <c r="G287">
        <v>100</v>
      </c>
      <c r="H287" t="s">
        <v>15</v>
      </c>
      <c r="I287">
        <f t="shared" si="22"/>
        <v>10000</v>
      </c>
      <c r="J287">
        <v>1.29</v>
      </c>
      <c r="K287">
        <v>28.4</v>
      </c>
      <c r="L287" t="s">
        <v>15</v>
      </c>
      <c r="M287">
        <v>530</v>
      </c>
      <c r="N287">
        <v>210</v>
      </c>
      <c r="O287">
        <v>0.09</v>
      </c>
      <c r="Q287" s="5">
        <f t="shared" si="19"/>
        <v>2.222980508574711</v>
      </c>
      <c r="R287" s="2">
        <f>(0.18/1.5*MIN((1+SQRT(200/E287)),2)*(MIN(J287,2)*(K287-8))^(1/3))</f>
        <v>0.71386792274844468</v>
      </c>
      <c r="S287" s="2">
        <f>E287/1.15*IF(F287="k",(G287+4*E287)*PI(),IF(F287="q",4*G287+4*E287*PI(),2*G287+2*H287+4*E287*PI()))</f>
        <v>40486.184945321227</v>
      </c>
      <c r="T287" s="2">
        <f t="shared" si="20"/>
        <v>2.8901788746925818E-2</v>
      </c>
      <c r="U287" s="4">
        <f t="shared" si="21"/>
        <v>3.1139941125468571</v>
      </c>
      <c r="V287" s="4"/>
      <c r="W287" s="4"/>
      <c r="X287" s="3"/>
      <c r="Y287" s="3"/>
      <c r="AB287" s="3"/>
    </row>
    <row r="288" spans="1:28" x14ac:dyDescent="0.45">
      <c r="A288" t="s">
        <v>18</v>
      </c>
      <c r="B288" t="s">
        <v>17</v>
      </c>
      <c r="C288" s="1">
        <v>0.64</v>
      </c>
      <c r="D288">
        <v>57</v>
      </c>
      <c r="E288">
        <v>47</v>
      </c>
      <c r="F288" t="s">
        <v>17</v>
      </c>
      <c r="G288">
        <v>100</v>
      </c>
      <c r="H288" t="s">
        <v>15</v>
      </c>
      <c r="I288">
        <f t="shared" si="22"/>
        <v>10000</v>
      </c>
      <c r="J288">
        <v>1.99</v>
      </c>
      <c r="K288">
        <v>30.5</v>
      </c>
      <c r="L288" t="s">
        <v>15</v>
      </c>
      <c r="M288">
        <v>530</v>
      </c>
      <c r="N288">
        <v>210</v>
      </c>
      <c r="O288">
        <v>9.7000000000000003E-2</v>
      </c>
      <c r="Q288" s="5">
        <f t="shared" si="19"/>
        <v>2.3958789925749668</v>
      </c>
      <c r="R288" s="2">
        <f>(0.18/1.5*MIN((1+SQRT(200/E288)),2)*(MIN(J288,2)*(K288-8))^(1/3))</f>
        <v>0.85222925788473969</v>
      </c>
      <c r="S288" s="2">
        <f>E288/1.15*IF(F288="k",(G288+4*E288)*PI(),IF(F288="q",4*G288+4*E288*PI(),2*G288+2*H288+4*E288*PI()))</f>
        <v>40486.184945321227</v>
      </c>
      <c r="T288" s="2">
        <f t="shared" si="20"/>
        <v>3.4503511350535428E-2</v>
      </c>
      <c r="U288" s="4">
        <f t="shared" si="21"/>
        <v>2.8113080728085014</v>
      </c>
      <c r="V288" s="4"/>
      <c r="W288" s="4"/>
      <c r="X288" s="3"/>
      <c r="Y288" s="3"/>
      <c r="AB288" s="3"/>
    </row>
    <row r="289" spans="1:28" x14ac:dyDescent="0.45">
      <c r="A289" t="s">
        <v>18</v>
      </c>
      <c r="B289" t="s">
        <v>17</v>
      </c>
      <c r="C289" s="1">
        <v>0.64</v>
      </c>
      <c r="D289">
        <v>46</v>
      </c>
      <c r="E289">
        <v>35</v>
      </c>
      <c r="F289" t="s">
        <v>17</v>
      </c>
      <c r="G289">
        <v>100</v>
      </c>
      <c r="H289" t="s">
        <v>15</v>
      </c>
      <c r="I289">
        <f t="shared" si="22"/>
        <v>10000</v>
      </c>
      <c r="J289">
        <v>0.69</v>
      </c>
      <c r="K289">
        <v>37.200000000000003</v>
      </c>
      <c r="L289" t="s">
        <v>15</v>
      </c>
      <c r="M289">
        <v>530</v>
      </c>
      <c r="N289">
        <v>210</v>
      </c>
      <c r="O289">
        <v>3.7999999999999999E-2</v>
      </c>
      <c r="Q289" s="5">
        <f t="shared" si="19"/>
        <v>1.4867078788492107</v>
      </c>
      <c r="R289" s="2">
        <f>(0.18/1.5*MIN((1+SQRT(200/E289)),2)*(MIN(J289,2)*(K289-8))^(1/3))</f>
        <v>0.65306321565379288</v>
      </c>
      <c r="S289" s="2">
        <f>E289/1.15*IF(F289="k",(G289+4*E289)*PI(),IF(F289="q",4*G289+4*E289*PI(),2*G289+2*H289+4*E289*PI()))</f>
        <v>25559.829567469555</v>
      </c>
      <c r="T289" s="2">
        <f t="shared" si="20"/>
        <v>1.6692184488894559E-2</v>
      </c>
      <c r="U289" s="4">
        <f t="shared" si="21"/>
        <v>2.2765144984637389</v>
      </c>
      <c r="V289" s="4"/>
      <c r="W289" s="4"/>
      <c r="X289" s="3"/>
      <c r="Y289" s="3"/>
      <c r="AB289" s="3"/>
    </row>
    <row r="290" spans="1:28" x14ac:dyDescent="0.45">
      <c r="A290" t="s">
        <v>18</v>
      </c>
      <c r="B290" t="s">
        <v>17</v>
      </c>
      <c r="C290" s="1">
        <v>0.64</v>
      </c>
      <c r="D290">
        <v>46</v>
      </c>
      <c r="E290">
        <v>35</v>
      </c>
      <c r="F290" t="s">
        <v>17</v>
      </c>
      <c r="G290">
        <v>100</v>
      </c>
      <c r="H290" t="s">
        <v>15</v>
      </c>
      <c r="I290">
        <f t="shared" si="22"/>
        <v>10000</v>
      </c>
      <c r="J290">
        <v>1.29</v>
      </c>
      <c r="K290">
        <v>37.200000000000003</v>
      </c>
      <c r="L290" t="s">
        <v>15</v>
      </c>
      <c r="M290">
        <v>530</v>
      </c>
      <c r="N290">
        <v>210</v>
      </c>
      <c r="O290">
        <v>5.7000000000000002E-2</v>
      </c>
      <c r="Q290" s="5">
        <f t="shared" si="19"/>
        <v>2.2300618182738159</v>
      </c>
      <c r="R290" s="2">
        <f>(0.18/1.5*MIN((1+SQRT(200/E290)),2)*(MIN(J290,2)*(K290-8))^(1/3))</f>
        <v>0.80451737695229097</v>
      </c>
      <c r="S290" s="2">
        <f>E290/1.15*IF(F290="k",(G290+4*E290)*PI(),IF(F290="q",4*G290+4*E290*PI(),2*G290+2*H290+4*E290*PI()))</f>
        <v>25559.829567469555</v>
      </c>
      <c r="T290" s="2">
        <f t="shared" si="20"/>
        <v>2.0563327038968213E-2</v>
      </c>
      <c r="U290" s="4">
        <f t="shared" si="21"/>
        <v>2.7719249852897363</v>
      </c>
      <c r="V290" s="4"/>
      <c r="W290" s="4"/>
      <c r="X290" s="3"/>
      <c r="Y290" s="3"/>
      <c r="AB290" s="3"/>
    </row>
    <row r="291" spans="1:28" x14ac:dyDescent="0.45">
      <c r="A291" t="s">
        <v>18</v>
      </c>
      <c r="B291" t="s">
        <v>17</v>
      </c>
      <c r="C291" s="1">
        <v>0.64</v>
      </c>
      <c r="D291">
        <v>46</v>
      </c>
      <c r="E291">
        <v>35</v>
      </c>
      <c r="F291" t="s">
        <v>17</v>
      </c>
      <c r="G291">
        <v>100</v>
      </c>
      <c r="H291" t="s">
        <v>15</v>
      </c>
      <c r="I291">
        <f t="shared" si="22"/>
        <v>10000</v>
      </c>
      <c r="J291">
        <v>1.99</v>
      </c>
      <c r="K291">
        <v>30.5</v>
      </c>
      <c r="L291" t="s">
        <v>15</v>
      </c>
      <c r="M291">
        <v>530</v>
      </c>
      <c r="N291">
        <v>210</v>
      </c>
      <c r="O291">
        <v>7.2999999999999995E-2</v>
      </c>
      <c r="Q291" s="5">
        <f t="shared" si="19"/>
        <v>2.8560440830524305</v>
      </c>
      <c r="R291" s="2">
        <f>(0.18/1.5*MIN((1+SQRT(200/E291)),2)*(MIN(J291,2)*(K291-8))^(1/3))</f>
        <v>0.85222925788473969</v>
      </c>
      <c r="S291" s="2">
        <f>E291/1.15*IF(F291="k",(G291+4*E291)*PI(),IF(F291="q",4*G291+4*E291*PI(),2*G291+2*H291+4*E291*PI()))</f>
        <v>25559.829567469555</v>
      </c>
      <c r="T291" s="2">
        <f t="shared" si="20"/>
        <v>2.1782834583945004E-2</v>
      </c>
      <c r="U291" s="4">
        <f t="shared" si="21"/>
        <v>3.3512626521896514</v>
      </c>
      <c r="V291" s="4"/>
      <c r="W291" s="4"/>
      <c r="X291" s="3"/>
      <c r="Y291" s="3"/>
      <c r="AB291" s="3"/>
    </row>
    <row r="292" spans="1:28" x14ac:dyDescent="0.45">
      <c r="A292" t="s">
        <v>18</v>
      </c>
      <c r="B292" t="s">
        <v>17</v>
      </c>
      <c r="C292" s="1">
        <v>0.64</v>
      </c>
      <c r="D292">
        <v>64</v>
      </c>
      <c r="E292">
        <v>54</v>
      </c>
      <c r="F292" t="s">
        <v>17</v>
      </c>
      <c r="G292">
        <v>100</v>
      </c>
      <c r="H292" t="s">
        <v>15</v>
      </c>
      <c r="I292">
        <f t="shared" si="22"/>
        <v>10000</v>
      </c>
      <c r="J292">
        <v>0.69</v>
      </c>
      <c r="K292">
        <v>32</v>
      </c>
      <c r="L292" t="s">
        <v>15</v>
      </c>
      <c r="M292">
        <v>530</v>
      </c>
      <c r="N292">
        <v>210</v>
      </c>
      <c r="O292">
        <v>8.7999999999999995E-2</v>
      </c>
      <c r="Q292" s="5">
        <f t="shared" si="19"/>
        <v>1.7375318484062485</v>
      </c>
      <c r="R292" s="2">
        <f>(0.18/1.5*MIN((1+SQRT(200/E292)),2)*(MIN(J292,2)*(K292-8))^(1/3))</f>
        <v>0.6117369111400317</v>
      </c>
      <c r="S292" s="2">
        <f>E292/1.15*IF(F292="k",(G292+4*E292)*PI(),IF(F292="q",4*G292+4*E292*PI(),2*G292+2*H292+4*E292*PI()))</f>
        <v>50646.553662148995</v>
      </c>
      <c r="T292" s="2">
        <f t="shared" si="20"/>
        <v>3.0982366297170886E-2</v>
      </c>
      <c r="U292" s="4">
        <f t="shared" si="21"/>
        <v>2.8403253371914206</v>
      </c>
      <c r="V292" s="4"/>
      <c r="W292" s="4"/>
      <c r="X292" s="3"/>
      <c r="Y292" s="3"/>
      <c r="AB292" s="3"/>
    </row>
    <row r="293" spans="1:28" x14ac:dyDescent="0.45">
      <c r="A293" t="s">
        <v>18</v>
      </c>
      <c r="B293" t="s">
        <v>17</v>
      </c>
      <c r="C293" s="1">
        <v>0.64</v>
      </c>
      <c r="D293">
        <v>64</v>
      </c>
      <c r="E293">
        <v>54</v>
      </c>
      <c r="F293" t="s">
        <v>17</v>
      </c>
      <c r="G293">
        <v>100</v>
      </c>
      <c r="H293" t="s">
        <v>15</v>
      </c>
      <c r="I293">
        <f t="shared" si="22"/>
        <v>10000</v>
      </c>
      <c r="J293">
        <v>1.29</v>
      </c>
      <c r="K293">
        <v>32</v>
      </c>
      <c r="L293" t="s">
        <v>15</v>
      </c>
      <c r="M293">
        <v>530</v>
      </c>
      <c r="N293">
        <v>210</v>
      </c>
      <c r="O293">
        <v>0.124</v>
      </c>
      <c r="Q293" s="5">
        <f t="shared" si="19"/>
        <v>2.4483403318451686</v>
      </c>
      <c r="R293" s="2">
        <f>(0.18/1.5*MIN((1+SQRT(200/E293)),2)*(MIN(J293,2)*(K293-8))^(1/3))</f>
        <v>0.75360694545101892</v>
      </c>
      <c r="S293" s="2">
        <f>E293/1.15*IF(F293="k",(G293+4*E293)*PI(),IF(F293="q",4*G293+4*E293*PI(),2*G293+2*H293+4*E293*PI()))</f>
        <v>50646.553662148995</v>
      </c>
      <c r="T293" s="2">
        <f t="shared" si="20"/>
        <v>3.8167594602953221E-2</v>
      </c>
      <c r="U293" s="4">
        <f t="shared" si="21"/>
        <v>3.2488293089972582</v>
      </c>
      <c r="V293" s="4"/>
      <c r="W293" s="4"/>
      <c r="X293" s="3"/>
      <c r="Y293" s="3"/>
      <c r="AB293" s="3"/>
    </row>
    <row r="294" spans="1:28" x14ac:dyDescent="0.45">
      <c r="A294" t="s">
        <v>18</v>
      </c>
      <c r="B294" t="s">
        <v>17</v>
      </c>
      <c r="C294" s="1">
        <v>0.64</v>
      </c>
      <c r="D294">
        <v>64</v>
      </c>
      <c r="E294">
        <v>54</v>
      </c>
      <c r="F294" t="s">
        <v>17</v>
      </c>
      <c r="G294">
        <v>100</v>
      </c>
      <c r="H294" t="s">
        <v>15</v>
      </c>
      <c r="I294">
        <f t="shared" si="22"/>
        <v>10000</v>
      </c>
      <c r="J294">
        <v>1.99</v>
      </c>
      <c r="K294">
        <v>27.5</v>
      </c>
      <c r="L294" t="s">
        <v>15</v>
      </c>
      <c r="M294">
        <v>530</v>
      </c>
      <c r="N294">
        <v>210</v>
      </c>
      <c r="O294">
        <v>0.126</v>
      </c>
      <c r="Q294" s="5">
        <f t="shared" ref="Q294:Q337" si="23">O294/S294*10^6</f>
        <v>2.4878296920362195</v>
      </c>
      <c r="R294" s="2">
        <f>(0.18/1.5*MIN((1+SQRT(200/E294)),2)*(MIN(J294,2)*(K294-8))^(1/3))</f>
        <v>0.81253199463753389</v>
      </c>
      <c r="S294" s="2">
        <f>E294/1.15*IF(F294="k",(G294+4*E294)*PI(),IF(F294="q",4*G294+4*E294*PI(),2*G294+2*H294+4*E294*PI()))</f>
        <v>50646.553662148995</v>
      </c>
      <c r="T294" s="2">
        <f t="shared" ref="T294:T337" si="24">R294*S294/10^6</f>
        <v>4.1151945268622821E-2</v>
      </c>
      <c r="U294" s="4">
        <f t="shared" ref="U294:U337" si="25">O294/T294</f>
        <v>3.0618236678126465</v>
      </c>
      <c r="V294" s="4"/>
      <c r="W294" s="4"/>
      <c r="X294" s="3"/>
      <c r="Y294" s="3"/>
      <c r="AB294" s="3"/>
    </row>
    <row r="295" spans="1:28" x14ac:dyDescent="0.45">
      <c r="A295" t="s">
        <v>18</v>
      </c>
      <c r="B295" t="s">
        <v>17</v>
      </c>
      <c r="C295" s="1">
        <v>2.286</v>
      </c>
      <c r="D295">
        <v>165</v>
      </c>
      <c r="E295">
        <v>127</v>
      </c>
      <c r="F295" t="s">
        <v>17</v>
      </c>
      <c r="G295">
        <v>508</v>
      </c>
      <c r="H295" t="s">
        <v>15</v>
      </c>
      <c r="I295">
        <f t="shared" si="22"/>
        <v>258064</v>
      </c>
      <c r="J295">
        <v>0.75</v>
      </c>
      <c r="K295">
        <v>25.8</v>
      </c>
      <c r="L295" t="s">
        <v>15</v>
      </c>
      <c r="M295">
        <v>331</v>
      </c>
      <c r="O295">
        <v>0.34300000000000003</v>
      </c>
      <c r="Q295" s="5">
        <f t="shared" si="23"/>
        <v>0.85610976774224157</v>
      </c>
      <c r="R295" s="2">
        <f>(0.18/1.5*MIN((1+SQRT(200/E295)),2)*(MIN(J295,2)*(K295-8))^(1/3))</f>
        <v>0.56933995620467337</v>
      </c>
      <c r="S295" s="2">
        <f>E295/1.15*IF(F295="k",(G295+4*E295)*PI(),IF(F295="q",4*G295+4*E295*PI(),2*G295+2*H295+4*E295*PI()))</f>
        <v>400649.55794695573</v>
      </c>
      <c r="T295" s="2">
        <f t="shared" si="24"/>
        <v>0.22810580177494152</v>
      </c>
      <c r="U295" s="4">
        <f t="shared" si="25"/>
        <v>1.5036881891255787</v>
      </c>
      <c r="V295" s="4"/>
      <c r="W295" s="4"/>
      <c r="X295" s="3"/>
      <c r="Y295" s="3"/>
      <c r="AB295" s="3"/>
    </row>
    <row r="296" spans="1:28" x14ac:dyDescent="0.45">
      <c r="A296" t="s">
        <v>18</v>
      </c>
      <c r="B296" t="s">
        <v>17</v>
      </c>
      <c r="C296" s="1">
        <v>2.286</v>
      </c>
      <c r="D296">
        <v>165</v>
      </c>
      <c r="E296">
        <v>124</v>
      </c>
      <c r="F296" t="s">
        <v>17</v>
      </c>
      <c r="G296">
        <v>508</v>
      </c>
      <c r="H296" t="s">
        <v>15</v>
      </c>
      <c r="I296">
        <f t="shared" si="22"/>
        <v>258064</v>
      </c>
      <c r="J296">
        <v>0.77</v>
      </c>
      <c r="K296">
        <v>31.2</v>
      </c>
      <c r="L296" t="s">
        <v>15</v>
      </c>
      <c r="M296">
        <v>331</v>
      </c>
      <c r="O296">
        <v>0.33</v>
      </c>
      <c r="Q296" s="5">
        <f t="shared" si="23"/>
        <v>0.85244786777491943</v>
      </c>
      <c r="R296" s="2">
        <f>(0.18/1.5*MIN((1+SQRT(200/E296)),2)*(MIN(J296,2)*(K296-8))^(1/3))</f>
        <v>0.62738983563644168</v>
      </c>
      <c r="S296" s="2">
        <f>E296/1.15*IF(F296="k",(G296+4*E296)*PI(),IF(F296="q",4*G296+4*E296*PI(),2*G296+2*H296+4*E296*PI()))</f>
        <v>387120.44744903193</v>
      </c>
      <c r="T296" s="2">
        <f t="shared" si="24"/>
        <v>0.24287543389655392</v>
      </c>
      <c r="U296" s="4">
        <f t="shared" si="25"/>
        <v>1.3587211959055292</v>
      </c>
      <c r="V296" s="4"/>
      <c r="W296" s="4"/>
      <c r="X296" s="3"/>
      <c r="Y296" s="3"/>
      <c r="AB296" s="3"/>
    </row>
    <row r="297" spans="1:28" x14ac:dyDescent="0.45">
      <c r="A297" t="s">
        <v>18</v>
      </c>
      <c r="B297" t="s">
        <v>17</v>
      </c>
      <c r="C297" s="1">
        <v>2.286</v>
      </c>
      <c r="D297">
        <v>165</v>
      </c>
      <c r="E297">
        <v>125</v>
      </c>
      <c r="F297" t="s">
        <v>17</v>
      </c>
      <c r="G297">
        <v>508</v>
      </c>
      <c r="H297" t="s">
        <v>15</v>
      </c>
      <c r="I297">
        <f t="shared" si="22"/>
        <v>258064</v>
      </c>
      <c r="J297">
        <v>1.52</v>
      </c>
      <c r="K297">
        <v>33.5</v>
      </c>
      <c r="L297" t="s">
        <v>15</v>
      </c>
      <c r="M297">
        <v>325</v>
      </c>
      <c r="O297">
        <v>0.57899999999999996</v>
      </c>
      <c r="Q297" s="5">
        <f t="shared" si="23"/>
        <v>1.4785182166372428</v>
      </c>
      <c r="R297" s="2">
        <f>(0.18/1.5*MIN((1+SQRT(200/E297)),2)*(MIN(J297,2)*(K297-8))^(1/3))</f>
        <v>0.81221779043194431</v>
      </c>
      <c r="S297" s="2">
        <f>E297/1.15*IF(F297="k",(G297+4*E297)*PI(),IF(F297="q",4*G297+4*E297*PI(),2*G297+2*H297+4*E297*PI()))</f>
        <v>391608.29639074963</v>
      </c>
      <c r="T297" s="2">
        <f t="shared" si="24"/>
        <v>0.31807122520931264</v>
      </c>
      <c r="U297" s="4">
        <f t="shared" si="25"/>
        <v>1.8203469981259019</v>
      </c>
      <c r="V297" s="4"/>
      <c r="W297" s="4"/>
      <c r="X297" s="3"/>
      <c r="Y297" s="3"/>
      <c r="AB297" s="3"/>
    </row>
    <row r="298" spans="1:28" x14ac:dyDescent="0.45">
      <c r="A298" t="s">
        <v>18</v>
      </c>
      <c r="B298" t="s">
        <v>17</v>
      </c>
      <c r="C298" s="1">
        <v>2.286</v>
      </c>
      <c r="D298">
        <v>165</v>
      </c>
      <c r="E298">
        <v>125</v>
      </c>
      <c r="F298" t="s">
        <v>17</v>
      </c>
      <c r="G298">
        <v>508</v>
      </c>
      <c r="H298" t="s">
        <v>15</v>
      </c>
      <c r="I298">
        <f t="shared" si="22"/>
        <v>258064</v>
      </c>
      <c r="J298">
        <v>1.52</v>
      </c>
      <c r="K298">
        <v>37.4</v>
      </c>
      <c r="L298" t="s">
        <v>15</v>
      </c>
      <c r="M298">
        <v>325</v>
      </c>
      <c r="O298">
        <v>0.58099999999999996</v>
      </c>
      <c r="Q298" s="5">
        <f t="shared" si="23"/>
        <v>1.4836253607361625</v>
      </c>
      <c r="R298" s="2">
        <f>(0.18/1.5*MIN((1+SQRT(200/E298)),2)*(MIN(J298,2)*(K298-8))^(1/3))</f>
        <v>0.85167692571199527</v>
      </c>
      <c r="S298" s="2">
        <f>E298/1.15*IF(F298="k",(G298+4*E298)*PI(),IF(F298="q",4*G298+4*E298*PI(),2*G298+2*H298+4*E298*PI()))</f>
        <v>391608.29639074963</v>
      </c>
      <c r="T298" s="2">
        <f t="shared" si="24"/>
        <v>0.33352374995338552</v>
      </c>
      <c r="U298" s="4">
        <f t="shared" si="25"/>
        <v>1.7420048799559331</v>
      </c>
      <c r="V298" s="4"/>
      <c r="W298" s="4"/>
      <c r="X298" s="3"/>
      <c r="Y298" s="3"/>
      <c r="AB298" s="3"/>
    </row>
    <row r="299" spans="1:28" x14ac:dyDescent="0.45">
      <c r="A299" t="s">
        <v>18</v>
      </c>
      <c r="B299" t="s">
        <v>17</v>
      </c>
      <c r="C299" s="1">
        <v>0.45700000000000002</v>
      </c>
      <c r="D299">
        <v>38</v>
      </c>
      <c r="E299">
        <v>30</v>
      </c>
      <c r="F299" t="s">
        <v>17</v>
      </c>
      <c r="G299">
        <v>76</v>
      </c>
      <c r="H299" t="s">
        <v>15</v>
      </c>
      <c r="I299">
        <f t="shared" si="22"/>
        <v>5776</v>
      </c>
      <c r="J299">
        <v>1.77</v>
      </c>
      <c r="K299">
        <v>26.8</v>
      </c>
      <c r="L299">
        <v>6</v>
      </c>
      <c r="M299">
        <v>396</v>
      </c>
      <c r="O299">
        <v>3.1E-2</v>
      </c>
      <c r="Q299" s="5">
        <f t="shared" si="23"/>
        <v>1.7450056266102845</v>
      </c>
      <c r="R299" s="2">
        <f>(0.18/1.5*MIN((1+SQRT(200/E299)),2)*(MIN(J299,2)*(K299-8))^(1/3))</f>
        <v>0.7719484157502059</v>
      </c>
      <c r="S299" s="2">
        <f>E299/1.15*IF(F299="k",(G299+4*E299)*PI(),IF(F299="q",4*G299+4*E299*PI(),2*G299+2*H299+4*E299*PI()))</f>
        <v>17764.985698194138</v>
      </c>
      <c r="T299" s="2">
        <f t="shared" si="24"/>
        <v>1.371365256554603E-2</v>
      </c>
      <c r="U299" s="4">
        <f t="shared" si="25"/>
        <v>2.2605210283570929</v>
      </c>
      <c r="V299" s="4"/>
      <c r="W299" s="4"/>
      <c r="X299" s="3"/>
      <c r="Y299" s="3"/>
      <c r="AB299" s="3"/>
    </row>
    <row r="300" spans="1:28" x14ac:dyDescent="0.45">
      <c r="A300" t="s">
        <v>20</v>
      </c>
      <c r="B300" t="s">
        <v>20</v>
      </c>
      <c r="C300" s="1">
        <v>0.7</v>
      </c>
      <c r="D300">
        <v>120</v>
      </c>
      <c r="E300">
        <v>96</v>
      </c>
      <c r="F300" t="s">
        <v>14</v>
      </c>
      <c r="G300">
        <v>120</v>
      </c>
      <c r="H300" t="s">
        <v>15</v>
      </c>
      <c r="I300">
        <f t="shared" si="22"/>
        <v>11309.733552923255</v>
      </c>
      <c r="J300">
        <v>0.79</v>
      </c>
      <c r="K300">
        <v>24.8</v>
      </c>
      <c r="L300">
        <v>32</v>
      </c>
      <c r="M300">
        <v>709</v>
      </c>
      <c r="N300">
        <v>200</v>
      </c>
      <c r="O300">
        <v>0.18</v>
      </c>
      <c r="Q300" s="5">
        <f t="shared" si="23"/>
        <v>1.3618168493726164</v>
      </c>
      <c r="R300" s="2">
        <f>(0.18/1.5*MIN((1+SQRT(200/E300)),2)*(MIN(J300,2)*(K300-8))^(1/3))</f>
        <v>0.56822896277357249</v>
      </c>
      <c r="S300" s="2">
        <f>E300/1.15*IF(F300="k",(G300+4*E300)*PI(),IF(F300="q",4*G300+4*E300*PI(),2*G300+2*H300+4*E300*PI()))</f>
        <v>132176.36430546831</v>
      </c>
      <c r="T300" s="2">
        <f t="shared" si="24"/>
        <v>7.5106438392478103E-2</v>
      </c>
      <c r="U300" s="4">
        <f t="shared" si="25"/>
        <v>2.3965987983531778</v>
      </c>
      <c r="V300" s="4"/>
      <c r="W300" s="4"/>
      <c r="X300" s="3"/>
      <c r="Y300" s="3"/>
      <c r="AB300" s="3"/>
    </row>
    <row r="301" spans="1:28" x14ac:dyDescent="0.45">
      <c r="A301" t="s">
        <v>20</v>
      </c>
      <c r="B301" t="s">
        <v>20</v>
      </c>
      <c r="C301" s="1">
        <v>0.7</v>
      </c>
      <c r="D301">
        <v>120</v>
      </c>
      <c r="E301">
        <v>101</v>
      </c>
      <c r="F301" t="s">
        <v>14</v>
      </c>
      <c r="G301">
        <v>120</v>
      </c>
      <c r="H301" t="s">
        <v>15</v>
      </c>
      <c r="I301">
        <f t="shared" si="22"/>
        <v>11309.733552923255</v>
      </c>
      <c r="J301">
        <v>0.53</v>
      </c>
      <c r="K301">
        <v>24.7</v>
      </c>
      <c r="L301">
        <v>32</v>
      </c>
      <c r="M301">
        <v>665</v>
      </c>
      <c r="N301">
        <v>210</v>
      </c>
      <c r="O301">
        <v>0.18</v>
      </c>
      <c r="Q301" s="5">
        <f t="shared" si="23"/>
        <v>1.2449955868801421</v>
      </c>
      <c r="R301" s="2">
        <f>(0.18/1.5*MIN((1+SQRT(200/E301)),2)*(MIN(J301,2)*(K301-8))^(1/3))</f>
        <v>0.49644981740140526</v>
      </c>
      <c r="S301" s="2">
        <f>E301/1.15*IF(F301="k",(G301+4*E301)*PI(),IF(F301="q",4*G301+4*E301*PI(),2*G301+2*H301+4*E301*PI()))</f>
        <v>144578.82573790109</v>
      </c>
      <c r="T301" s="2">
        <f t="shared" si="24"/>
        <v>7.1776131637690588E-2</v>
      </c>
      <c r="U301" s="4">
        <f t="shared" si="25"/>
        <v>2.5077974515065624</v>
      </c>
      <c r="V301" s="4"/>
      <c r="W301" s="4"/>
      <c r="X301" s="3"/>
      <c r="Y301" s="3"/>
      <c r="AB301" s="3"/>
    </row>
    <row r="302" spans="1:28" x14ac:dyDescent="0.45">
      <c r="A302" t="s">
        <v>20</v>
      </c>
      <c r="B302" t="s">
        <v>20</v>
      </c>
      <c r="C302" s="1">
        <v>1.4</v>
      </c>
      <c r="D302">
        <v>240</v>
      </c>
      <c r="E302">
        <v>201</v>
      </c>
      <c r="F302" t="s">
        <v>14</v>
      </c>
      <c r="G302">
        <v>240</v>
      </c>
      <c r="H302" t="s">
        <v>15</v>
      </c>
      <c r="I302">
        <f t="shared" si="22"/>
        <v>45238.93421169302</v>
      </c>
      <c r="J302">
        <v>0.75</v>
      </c>
      <c r="K302">
        <v>23.2</v>
      </c>
      <c r="L302">
        <v>32</v>
      </c>
      <c r="M302">
        <v>711</v>
      </c>
      <c r="N302">
        <v>210</v>
      </c>
      <c r="O302">
        <v>0.64800000000000002</v>
      </c>
      <c r="Q302" s="5">
        <f t="shared" si="23"/>
        <v>1.1303850821760966</v>
      </c>
      <c r="R302" s="2">
        <f>(0.18/1.5*MIN((1+SQRT(200/E302)),2)*(MIN(J302,2)*(K302-8))^(1/3))</f>
        <v>0.53947544382854329</v>
      </c>
      <c r="S302" s="2">
        <f>E302/1.15*IF(F302="k",(G302+4*E302)*PI(),IF(F302="q",4*G302+4*E302*PI(),2*G302+2*H302+4*E302*PI()))</f>
        <v>573255.97286947526</v>
      </c>
      <c r="T302" s="2">
        <f t="shared" si="24"/>
        <v>0.30925752039112353</v>
      </c>
      <c r="U302" s="4">
        <f t="shared" si="25"/>
        <v>2.0953411227654635</v>
      </c>
      <c r="V302" s="4"/>
      <c r="W302" s="4"/>
      <c r="X302" s="3"/>
      <c r="Y302" s="3"/>
      <c r="AB302" s="3"/>
    </row>
    <row r="303" spans="1:28" x14ac:dyDescent="0.45">
      <c r="A303" t="s">
        <v>20</v>
      </c>
      <c r="B303" t="s">
        <v>20</v>
      </c>
      <c r="C303" s="1">
        <v>1.4</v>
      </c>
      <c r="D303">
        <v>240</v>
      </c>
      <c r="E303">
        <v>201</v>
      </c>
      <c r="F303" t="s">
        <v>14</v>
      </c>
      <c r="G303">
        <v>240</v>
      </c>
      <c r="H303" t="s">
        <v>15</v>
      </c>
      <c r="I303">
        <f t="shared" si="22"/>
        <v>45238.93421169302</v>
      </c>
      <c r="J303">
        <v>0.53</v>
      </c>
      <c r="K303">
        <v>22.9</v>
      </c>
      <c r="L303">
        <v>32</v>
      </c>
      <c r="M303">
        <v>706</v>
      </c>
      <c r="N303">
        <v>210</v>
      </c>
      <c r="O303">
        <v>0.54700000000000004</v>
      </c>
      <c r="Q303" s="5">
        <f t="shared" si="23"/>
        <v>0.95419851844185943</v>
      </c>
      <c r="R303" s="2">
        <f>(0.18/1.5*MIN((1+SQRT(200/E303)),2)*(MIN(J303,2)*(K303-8))^(1/3))</f>
        <v>0.4773359125210398</v>
      </c>
      <c r="S303" s="2">
        <f>E303/1.15*IF(F303="k",(G303+4*E303)*PI(),IF(F303="q",4*G303+4*E303*PI(),2*G303+2*H303+4*E303*PI()))</f>
        <v>573255.97286947526</v>
      </c>
      <c r="T303" s="2">
        <f t="shared" si="24"/>
        <v>0.2736356629177874</v>
      </c>
      <c r="U303" s="4">
        <f t="shared" si="25"/>
        <v>1.9990084412511089</v>
      </c>
      <c r="V303" s="4"/>
      <c r="W303" s="4"/>
      <c r="X303" s="3"/>
      <c r="Y303" s="3"/>
      <c r="AB303" s="3"/>
    </row>
    <row r="304" spans="1:28" x14ac:dyDescent="0.45">
      <c r="A304" t="s">
        <v>18</v>
      </c>
      <c r="B304" t="s">
        <v>17</v>
      </c>
      <c r="C304" s="1">
        <v>0.73699999999999999</v>
      </c>
      <c r="D304">
        <v>61</v>
      </c>
      <c r="E304">
        <v>46</v>
      </c>
      <c r="F304" t="s">
        <v>17</v>
      </c>
      <c r="G304">
        <v>102</v>
      </c>
      <c r="H304" t="s">
        <v>15</v>
      </c>
      <c r="I304">
        <f t="shared" si="22"/>
        <v>10404</v>
      </c>
      <c r="J304">
        <v>1.1299999999999999</v>
      </c>
      <c r="K304">
        <v>32.9</v>
      </c>
      <c r="L304">
        <v>10</v>
      </c>
      <c r="M304">
        <v>359</v>
      </c>
      <c r="O304">
        <v>6.5000000000000002E-2</v>
      </c>
      <c r="Q304" s="5">
        <f t="shared" si="23"/>
        <v>1.6479843583128035</v>
      </c>
      <c r="R304" s="2">
        <f>(0.18/1.5*MIN((1+SQRT(200/E304)),2)*(MIN(J304,2)*(K304-8))^(1/3))</f>
        <v>0.72996802762328306</v>
      </c>
      <c r="S304" s="2">
        <f>E304/1.15*IF(F304="k",(G304+4*E304)*PI(),IF(F304="q",4*G304+4*E304*PI(),2*G304+2*H304+4*E304*PI()))</f>
        <v>39442.121930420879</v>
      </c>
      <c r="T304" s="2">
        <f t="shared" si="24"/>
        <v>2.8791487950826367E-2</v>
      </c>
      <c r="U304" s="4">
        <f t="shared" si="25"/>
        <v>2.2576116979787559</v>
      </c>
      <c r="V304" s="4"/>
      <c r="W304" s="4"/>
      <c r="X304" s="3"/>
      <c r="Y304" s="3"/>
      <c r="AB304" s="3"/>
    </row>
    <row r="305" spans="1:28" x14ac:dyDescent="0.45">
      <c r="A305" t="s">
        <v>18</v>
      </c>
      <c r="B305" t="s">
        <v>17</v>
      </c>
      <c r="C305" s="1">
        <v>0.73699999999999999</v>
      </c>
      <c r="D305">
        <v>61</v>
      </c>
      <c r="E305">
        <v>46</v>
      </c>
      <c r="F305" t="s">
        <v>17</v>
      </c>
      <c r="G305">
        <v>102</v>
      </c>
      <c r="H305" t="s">
        <v>15</v>
      </c>
      <c r="I305">
        <f t="shared" si="22"/>
        <v>10404</v>
      </c>
      <c r="J305">
        <v>1.1299999999999999</v>
      </c>
      <c r="K305">
        <v>27.1</v>
      </c>
      <c r="L305">
        <v>10</v>
      </c>
      <c r="M305">
        <v>359</v>
      </c>
      <c r="O305">
        <v>6.3E-2</v>
      </c>
      <c r="Q305" s="5">
        <f t="shared" si="23"/>
        <v>1.597277147287794</v>
      </c>
      <c r="R305" s="2">
        <f>(0.18/1.5*MIN((1+SQRT(200/E305)),2)*(MIN(J305,2)*(K305-8))^(1/3))</f>
        <v>0.66821339710659422</v>
      </c>
      <c r="S305" s="2">
        <f>E305/1.15*IF(F305="k",(G305+4*E305)*PI(),IF(F305="q",4*G305+4*E305*PI(),2*G305+2*H305+4*E305*PI()))</f>
        <v>39442.121930420879</v>
      </c>
      <c r="T305" s="2">
        <f t="shared" si="24"/>
        <v>2.6355754284219036E-2</v>
      </c>
      <c r="U305" s="4">
        <f t="shared" si="25"/>
        <v>2.3903698342537036</v>
      </c>
      <c r="V305" s="4"/>
      <c r="W305" s="4"/>
      <c r="X305" s="3"/>
      <c r="Y305" s="3"/>
      <c r="AB305" s="3"/>
    </row>
    <row r="306" spans="1:28" x14ac:dyDescent="0.45">
      <c r="A306" t="s">
        <v>18</v>
      </c>
      <c r="B306" t="s">
        <v>17</v>
      </c>
      <c r="C306" s="1">
        <v>0.73699999999999999</v>
      </c>
      <c r="D306">
        <v>61</v>
      </c>
      <c r="E306">
        <v>46</v>
      </c>
      <c r="F306" t="s">
        <v>17</v>
      </c>
      <c r="G306">
        <v>102</v>
      </c>
      <c r="H306" t="s">
        <v>15</v>
      </c>
      <c r="I306">
        <f t="shared" si="22"/>
        <v>10404</v>
      </c>
      <c r="J306">
        <v>1.1299999999999999</v>
      </c>
      <c r="K306">
        <v>27.1</v>
      </c>
      <c r="L306">
        <v>10</v>
      </c>
      <c r="M306">
        <v>359</v>
      </c>
      <c r="O306">
        <v>6.0999999999999999E-2</v>
      </c>
      <c r="Q306" s="5">
        <f t="shared" si="23"/>
        <v>1.5465699362627847</v>
      </c>
      <c r="R306" s="2">
        <f>(0.18/1.5*MIN((1+SQRT(200/E306)),2)*(MIN(J306,2)*(K306-8))^(1/3))</f>
        <v>0.66821339710659422</v>
      </c>
      <c r="S306" s="2">
        <f>E306/1.15*IF(F306="k",(G306+4*E306)*PI(),IF(F306="q",4*G306+4*E306*PI(),2*G306+2*H306+4*E306*PI()))</f>
        <v>39442.121930420879</v>
      </c>
      <c r="T306" s="2">
        <f t="shared" si="24"/>
        <v>2.6355754284219036E-2</v>
      </c>
      <c r="U306" s="4">
        <f t="shared" si="25"/>
        <v>2.3144850776107289</v>
      </c>
      <c r="V306" s="4"/>
      <c r="W306" s="4"/>
      <c r="X306" s="3"/>
      <c r="Y306" s="3"/>
      <c r="AB306" s="3"/>
    </row>
    <row r="307" spans="1:28" x14ac:dyDescent="0.45">
      <c r="A307" t="s">
        <v>18</v>
      </c>
      <c r="B307" t="s">
        <v>17</v>
      </c>
      <c r="C307" s="1">
        <v>0.73699999999999999</v>
      </c>
      <c r="D307">
        <v>61</v>
      </c>
      <c r="E307">
        <v>46</v>
      </c>
      <c r="F307" t="s">
        <v>17</v>
      </c>
      <c r="G307">
        <v>102</v>
      </c>
      <c r="H307" t="s">
        <v>15</v>
      </c>
      <c r="I307">
        <f t="shared" si="22"/>
        <v>10404</v>
      </c>
      <c r="J307">
        <v>1.1299999999999999</v>
      </c>
      <c r="K307">
        <v>27.2</v>
      </c>
      <c r="L307">
        <v>10</v>
      </c>
      <c r="M307">
        <v>359</v>
      </c>
      <c r="O307">
        <v>6.4000000000000001E-2</v>
      </c>
      <c r="Q307" s="5">
        <f t="shared" si="23"/>
        <v>1.6226307528002986</v>
      </c>
      <c r="R307" s="2">
        <f>(0.18/1.5*MIN((1+SQRT(200/E307)),2)*(MIN(J307,2)*(K307-8))^(1/3))</f>
        <v>0.66937753429824565</v>
      </c>
      <c r="S307" s="2">
        <f>E307/1.15*IF(F307="k",(G307+4*E307)*PI(),IF(F307="q",4*G307+4*E307*PI(),2*G307+2*H307+4*E307*PI()))</f>
        <v>39442.121930420879</v>
      </c>
      <c r="T307" s="2">
        <f t="shared" si="24"/>
        <v>2.6401670325275888E-2</v>
      </c>
      <c r="U307" s="4">
        <f t="shared" si="25"/>
        <v>2.4240890523782124</v>
      </c>
      <c r="V307" s="4"/>
      <c r="W307" s="4"/>
      <c r="X307" s="3"/>
      <c r="Y307" s="3"/>
      <c r="AB307" s="3"/>
    </row>
    <row r="308" spans="1:28" x14ac:dyDescent="0.45">
      <c r="A308" t="s">
        <v>18</v>
      </c>
      <c r="B308" t="s">
        <v>17</v>
      </c>
      <c r="C308" s="1">
        <v>0.73699999999999999</v>
      </c>
      <c r="D308">
        <v>61</v>
      </c>
      <c r="E308">
        <v>46</v>
      </c>
      <c r="F308" t="s">
        <v>17</v>
      </c>
      <c r="G308">
        <v>102</v>
      </c>
      <c r="H308" t="s">
        <v>15</v>
      </c>
      <c r="I308">
        <f t="shared" si="22"/>
        <v>10404</v>
      </c>
      <c r="J308">
        <v>2.5299999999999998</v>
      </c>
      <c r="K308">
        <v>29.4</v>
      </c>
      <c r="L308">
        <v>10</v>
      </c>
      <c r="M308">
        <v>368</v>
      </c>
      <c r="O308">
        <v>8.7999999999999995E-2</v>
      </c>
      <c r="Q308" s="5">
        <f t="shared" si="23"/>
        <v>2.2311172851004106</v>
      </c>
      <c r="R308" s="2">
        <f>(0.18/1.5*MIN((1+SQRT(200/E308)),2)*(MIN(J308,2)*(K308-8))^(1/3))</f>
        <v>0.83950991820847432</v>
      </c>
      <c r="S308" s="2">
        <f>E308/1.15*IF(F308="k",(G308+4*E308)*PI(),IF(F308="q",4*G308+4*E308*PI(),2*G308+2*H308+4*E308*PI()))</f>
        <v>39442.121930420879</v>
      </c>
      <c r="T308" s="2">
        <f t="shared" si="24"/>
        <v>3.3112052555776303E-2</v>
      </c>
      <c r="U308" s="4">
        <f t="shared" si="25"/>
        <v>2.6576425563400674</v>
      </c>
      <c r="V308" s="4"/>
      <c r="W308" s="4"/>
      <c r="X308" s="3"/>
      <c r="Y308" s="3"/>
      <c r="AB308" s="3"/>
    </row>
    <row r="309" spans="1:28" x14ac:dyDescent="0.45">
      <c r="A309" t="s">
        <v>18</v>
      </c>
      <c r="B309" t="s">
        <v>17</v>
      </c>
      <c r="C309" s="1">
        <v>0.73699999999999999</v>
      </c>
      <c r="D309">
        <v>61</v>
      </c>
      <c r="E309">
        <v>46</v>
      </c>
      <c r="F309" t="s">
        <v>17</v>
      </c>
      <c r="G309">
        <v>102</v>
      </c>
      <c r="H309" t="s">
        <v>15</v>
      </c>
      <c r="I309">
        <f t="shared" si="22"/>
        <v>10404</v>
      </c>
      <c r="J309">
        <v>2.5299999999999998</v>
      </c>
      <c r="K309">
        <v>27.7</v>
      </c>
      <c r="L309">
        <v>10</v>
      </c>
      <c r="M309">
        <v>462</v>
      </c>
      <c r="O309">
        <v>8.6999999999999994E-2</v>
      </c>
      <c r="Q309" s="5">
        <f t="shared" si="23"/>
        <v>2.2057636795879056</v>
      </c>
      <c r="R309" s="2">
        <f>(0.18/1.5*MIN((1+SQRT(200/E309)),2)*(MIN(J309,2)*(K309-8))^(1/3))</f>
        <v>0.81666381969482771</v>
      </c>
      <c r="S309" s="2">
        <f>E309/1.15*IF(F309="k",(G309+4*E309)*PI(),IF(F309="q",4*G309+4*E309*PI(),2*G309+2*H309+4*E309*PI()))</f>
        <v>39442.121930420879</v>
      </c>
      <c r="T309" s="2">
        <f t="shared" si="24"/>
        <v>3.2210953952566651E-2</v>
      </c>
      <c r="U309" s="4">
        <f t="shared" si="25"/>
        <v>2.7009445335929771</v>
      </c>
      <c r="V309" s="4"/>
      <c r="W309" s="4"/>
      <c r="X309" s="3"/>
      <c r="Y309" s="3"/>
      <c r="AB309" s="3"/>
    </row>
    <row r="310" spans="1:28" x14ac:dyDescent="0.45">
      <c r="A310" t="s">
        <v>18</v>
      </c>
      <c r="B310" t="s">
        <v>17</v>
      </c>
      <c r="C310" s="1">
        <v>0.73699999999999999</v>
      </c>
      <c r="D310">
        <v>61</v>
      </c>
      <c r="E310">
        <v>46</v>
      </c>
      <c r="F310" t="s">
        <v>17</v>
      </c>
      <c r="G310">
        <v>102</v>
      </c>
      <c r="H310" t="s">
        <v>15</v>
      </c>
      <c r="I310">
        <f t="shared" si="22"/>
        <v>10404</v>
      </c>
      <c r="J310">
        <v>1.1299999999999999</v>
      </c>
      <c r="K310">
        <v>28.4</v>
      </c>
      <c r="L310">
        <v>10</v>
      </c>
      <c r="M310">
        <v>374</v>
      </c>
      <c r="O310">
        <v>6.7000000000000004E-2</v>
      </c>
      <c r="Q310" s="5">
        <f t="shared" si="23"/>
        <v>1.6986915693378128</v>
      </c>
      <c r="R310" s="2">
        <f>(0.18/1.5*MIN((1+SQRT(200/E310)),2)*(MIN(J310,2)*(K310-8))^(1/3))</f>
        <v>0.68304205699432219</v>
      </c>
      <c r="S310" s="2">
        <f>E310/1.15*IF(F310="k",(G310+4*E310)*PI(),IF(F310="q",4*G310+4*E310*PI(),2*G310+2*H310+4*E310*PI()))</f>
        <v>39442.121930420879</v>
      </c>
      <c r="T310" s="2">
        <f t="shared" si="24"/>
        <v>2.6940628095575542E-2</v>
      </c>
      <c r="U310" s="4">
        <f t="shared" si="25"/>
        <v>2.48695018402349</v>
      </c>
      <c r="V310" s="4"/>
      <c r="W310" s="4"/>
      <c r="X310" s="3"/>
      <c r="Y310" s="3"/>
      <c r="AB310" s="3"/>
    </row>
    <row r="311" spans="1:28" x14ac:dyDescent="0.45">
      <c r="A311" t="s">
        <v>18</v>
      </c>
      <c r="B311" t="s">
        <v>17</v>
      </c>
      <c r="C311" s="1">
        <v>0.73699999999999999</v>
      </c>
      <c r="D311">
        <v>61</v>
      </c>
      <c r="E311">
        <v>46</v>
      </c>
      <c r="F311" t="s">
        <v>17</v>
      </c>
      <c r="G311">
        <v>102</v>
      </c>
      <c r="H311" t="s">
        <v>15</v>
      </c>
      <c r="I311">
        <f t="shared" si="22"/>
        <v>10404</v>
      </c>
      <c r="J311">
        <v>2.5299999999999998</v>
      </c>
      <c r="K311">
        <v>27.2</v>
      </c>
      <c r="L311">
        <v>10</v>
      </c>
      <c r="M311">
        <v>440</v>
      </c>
      <c r="O311">
        <v>8.1000000000000003E-2</v>
      </c>
      <c r="Q311" s="5">
        <f t="shared" si="23"/>
        <v>2.053642046512878</v>
      </c>
      <c r="R311" s="2">
        <f>(0.18/1.5*MIN((1+SQRT(200/E311)),2)*(MIN(J311,2)*(K311-8))^(1/3))</f>
        <v>0.80969535868967923</v>
      </c>
      <c r="S311" s="2">
        <f>E311/1.15*IF(F311="k",(G311+4*E311)*PI(),IF(F311="q",4*G311+4*E311*PI(),2*G311+2*H311+4*E311*PI()))</f>
        <v>39442.121930420879</v>
      </c>
      <c r="T311" s="2">
        <f t="shared" si="24"/>
        <v>3.1936103063934199E-2</v>
      </c>
      <c r="U311" s="4">
        <f t="shared" si="25"/>
        <v>2.5363144600905994</v>
      </c>
      <c r="V311" s="4"/>
      <c r="W311" s="4"/>
      <c r="X311" s="3"/>
      <c r="Y311" s="3"/>
      <c r="AB311" s="3"/>
    </row>
    <row r="312" spans="1:28" x14ac:dyDescent="0.45">
      <c r="A312" t="s">
        <v>18</v>
      </c>
      <c r="B312" t="s">
        <v>17</v>
      </c>
      <c r="C312" s="1">
        <v>0.9</v>
      </c>
      <c r="D312">
        <v>76</v>
      </c>
      <c r="E312">
        <v>51</v>
      </c>
      <c r="F312" t="s">
        <v>17</v>
      </c>
      <c r="G312">
        <v>152</v>
      </c>
      <c r="H312" t="s">
        <v>15</v>
      </c>
      <c r="I312">
        <f t="shared" si="22"/>
        <v>23104</v>
      </c>
      <c r="J312">
        <v>2.2000000000000002</v>
      </c>
      <c r="K312">
        <v>14.4</v>
      </c>
      <c r="L312" t="s">
        <v>15</v>
      </c>
      <c r="M312">
        <v>352</v>
      </c>
      <c r="O312">
        <v>0.123</v>
      </c>
      <c r="Q312" s="5">
        <f t="shared" si="23"/>
        <v>2.2208046624680051</v>
      </c>
      <c r="R312" s="2">
        <f>(0.18/1.5*MIN((1+SQRT(200/E312)),2)*(MIN(J312,2)*(K312-8))^(1/3))</f>
        <v>0.56141140573687021</v>
      </c>
      <c r="S312" s="2">
        <f>E312/1.15*IF(F312="k",(G312+4*E312)*PI(),IF(F312="q",4*G312+4*E312*PI(),2*G312+2*H312+4*E312*PI()))</f>
        <v>55385.330406911489</v>
      </c>
      <c r="T312" s="2">
        <f t="shared" si="24"/>
        <v>3.10939562009452E-2</v>
      </c>
      <c r="U312" s="4">
        <f t="shared" si="25"/>
        <v>3.9557526615497394</v>
      </c>
      <c r="V312" s="4"/>
      <c r="W312" s="4"/>
      <c r="X312" s="3"/>
      <c r="Y312" s="3"/>
      <c r="AB312" s="3"/>
    </row>
    <row r="313" spans="1:28" x14ac:dyDescent="0.45">
      <c r="A313" t="s">
        <v>18</v>
      </c>
      <c r="B313" t="s">
        <v>17</v>
      </c>
      <c r="C313" s="1">
        <v>3</v>
      </c>
      <c r="D313">
        <v>125</v>
      </c>
      <c r="E313">
        <v>107</v>
      </c>
      <c r="F313" t="s">
        <v>17</v>
      </c>
      <c r="G313">
        <v>250</v>
      </c>
      <c r="H313" t="s">
        <v>15</v>
      </c>
      <c r="I313">
        <f t="shared" si="22"/>
        <v>62500</v>
      </c>
      <c r="J313">
        <v>1.06</v>
      </c>
      <c r="K313">
        <v>33.9</v>
      </c>
      <c r="L313" t="s">
        <v>15</v>
      </c>
      <c r="M313">
        <v>304</v>
      </c>
      <c r="O313">
        <v>0.25700000000000001</v>
      </c>
      <c r="Q313" s="5">
        <f t="shared" si="23"/>
        <v>1.1780890480701716</v>
      </c>
      <c r="R313" s="2">
        <f>(0.18/1.5*MIN((1+SQRT(200/E313)),2)*(MIN(J313,2)*(K313-8))^(1/3))</f>
        <v>0.72401314547319251</v>
      </c>
      <c r="S313" s="2">
        <f>E313/1.15*IF(F313="k",(G313+4*E313)*PI(),IF(F313="q",4*G313+4*E313*PI(),2*G313+2*H313+4*E313*PI()))</f>
        <v>218149.89318591147</v>
      </c>
      <c r="T313" s="2">
        <f t="shared" si="24"/>
        <v>0.15794339035017274</v>
      </c>
      <c r="U313" s="4">
        <f t="shared" si="25"/>
        <v>1.6271652737744269</v>
      </c>
      <c r="V313" s="4"/>
      <c r="W313" s="4"/>
      <c r="X313" s="3"/>
      <c r="Y313" s="3"/>
      <c r="AB313" s="3"/>
    </row>
    <row r="314" spans="1:28" x14ac:dyDescent="0.45">
      <c r="A314" t="s">
        <v>18</v>
      </c>
      <c r="B314" t="s">
        <v>17</v>
      </c>
      <c r="C314" s="1">
        <v>3</v>
      </c>
      <c r="D314">
        <v>125</v>
      </c>
      <c r="E314">
        <v>107</v>
      </c>
      <c r="F314" t="s">
        <v>17</v>
      </c>
      <c r="G314">
        <v>450</v>
      </c>
      <c r="H314" t="s">
        <v>15</v>
      </c>
      <c r="I314">
        <f t="shared" si="22"/>
        <v>202500</v>
      </c>
      <c r="J314">
        <v>1.06</v>
      </c>
      <c r="K314">
        <v>29.7</v>
      </c>
      <c r="L314" t="s">
        <v>15</v>
      </c>
      <c r="M314">
        <v>304</v>
      </c>
      <c r="O314">
        <v>0.30099999999999999</v>
      </c>
      <c r="Q314" s="5">
        <f t="shared" si="23"/>
        <v>1.0287620128516244</v>
      </c>
      <c r="R314" s="2">
        <f>(0.18/1.5*MIN((1+SQRT(200/E314)),2)*(MIN(J314,2)*(K314-8))^(1/3))</f>
        <v>0.68254785801343931</v>
      </c>
      <c r="S314" s="2">
        <f>E314/1.15*IF(F314="k",(G314+4*E314)*PI(),IF(F314="q",4*G314+4*E314*PI(),2*G314+2*H314+4*E314*PI()))</f>
        <v>292584.67579460714</v>
      </c>
      <c r="T314" s="2">
        <f t="shared" si="24"/>
        <v>0.19970304375116568</v>
      </c>
      <c r="U314" s="4">
        <f t="shared" si="25"/>
        <v>1.5072379185920297</v>
      </c>
      <c r="V314" s="4"/>
      <c r="W314" s="4"/>
      <c r="X314" s="3"/>
      <c r="Y314" s="3"/>
      <c r="AB314" s="3"/>
    </row>
    <row r="315" spans="1:28" x14ac:dyDescent="0.45">
      <c r="A315" t="s">
        <v>18</v>
      </c>
      <c r="B315" t="s">
        <v>17</v>
      </c>
      <c r="C315" s="1">
        <v>3</v>
      </c>
      <c r="D315">
        <v>125</v>
      </c>
      <c r="E315">
        <v>107</v>
      </c>
      <c r="F315" t="s">
        <v>17</v>
      </c>
      <c r="G315">
        <v>100</v>
      </c>
      <c r="H315" t="s">
        <v>15</v>
      </c>
      <c r="I315">
        <f t="shared" si="22"/>
        <v>10000</v>
      </c>
      <c r="J315">
        <v>0.47</v>
      </c>
      <c r="K315">
        <v>26.4</v>
      </c>
      <c r="L315" t="s">
        <v>15</v>
      </c>
      <c r="M315">
        <v>451</v>
      </c>
      <c r="O315">
        <v>0.17499999999999999</v>
      </c>
      <c r="Q315" s="5">
        <f t="shared" si="23"/>
        <v>1.0780920190640229</v>
      </c>
      <c r="R315" s="2">
        <f>(0.18/1.5*MIN((1+SQRT(200/E315)),2)*(MIN(J315,2)*(K315-8))^(1/3))</f>
        <v>0.4926250236160124</v>
      </c>
      <c r="S315" s="2">
        <f>E315/1.15*IF(F315="k",(G315+4*E315)*PI(),IF(F315="q",4*G315+4*E315*PI(),2*G315+2*H315+4*E315*PI()))</f>
        <v>162323.80622938974</v>
      </c>
      <c r="T315" s="2">
        <f t="shared" si="24"/>
        <v>7.9964768877194142E-2</v>
      </c>
      <c r="U315" s="4">
        <f t="shared" si="25"/>
        <v>2.1884637754503631</v>
      </c>
      <c r="V315" s="4"/>
      <c r="W315" s="4"/>
      <c r="X315" s="3"/>
      <c r="Y315" s="3"/>
      <c r="AB315" s="3"/>
    </row>
    <row r="316" spans="1:28" x14ac:dyDescent="0.45">
      <c r="A316" t="s">
        <v>18</v>
      </c>
      <c r="B316" t="s">
        <v>17</v>
      </c>
      <c r="C316" s="1">
        <v>0.86399999999999999</v>
      </c>
      <c r="D316">
        <v>76</v>
      </c>
      <c r="E316">
        <v>64</v>
      </c>
      <c r="F316" t="s">
        <v>17</v>
      </c>
      <c r="G316">
        <v>51</v>
      </c>
      <c r="H316" t="s">
        <v>15</v>
      </c>
      <c r="I316">
        <f t="shared" si="22"/>
        <v>2601</v>
      </c>
      <c r="J316">
        <v>0.98</v>
      </c>
      <c r="K316">
        <v>23</v>
      </c>
      <c r="L316">
        <v>10</v>
      </c>
      <c r="M316">
        <v>376</v>
      </c>
      <c r="O316">
        <v>7.0999999999999994E-2</v>
      </c>
      <c r="Q316" s="5">
        <f t="shared" si="23"/>
        <v>1.2653450392743919</v>
      </c>
      <c r="R316" s="2">
        <f>(0.18/1.5*MIN((1+SQRT(200/E316)),2)*(MIN(J316,2)*(K316-8))^(1/3))</f>
        <v>0.58791835601116926</v>
      </c>
      <c r="S316" s="2">
        <f>E316/1.15*IF(F316="k",(G316+4*E316)*PI(),IF(F316="q",4*G316+4*E316*PI(),2*G316+2*H316+4*E316*PI()))</f>
        <v>56111.177422969718</v>
      </c>
      <c r="T316" s="2">
        <f t="shared" si="24"/>
        <v>3.2988791184363389E-2</v>
      </c>
      <c r="U316" s="4">
        <f t="shared" si="25"/>
        <v>2.152246185778818</v>
      </c>
      <c r="V316" s="4"/>
      <c r="W316" s="4"/>
      <c r="X316" s="3"/>
      <c r="Y316" s="3"/>
      <c r="AB316" s="3"/>
    </row>
    <row r="317" spans="1:28" x14ac:dyDescent="0.45">
      <c r="A317" t="s">
        <v>18</v>
      </c>
      <c r="B317" t="s">
        <v>17</v>
      </c>
      <c r="C317" s="1">
        <v>0.86399999999999999</v>
      </c>
      <c r="D317">
        <v>76</v>
      </c>
      <c r="E317">
        <v>64</v>
      </c>
      <c r="F317" t="s">
        <v>17</v>
      </c>
      <c r="G317">
        <v>76</v>
      </c>
      <c r="H317" t="s">
        <v>15</v>
      </c>
      <c r="I317">
        <f t="shared" si="22"/>
        <v>5776</v>
      </c>
      <c r="J317">
        <v>0.98</v>
      </c>
      <c r="K317">
        <v>21.8</v>
      </c>
      <c r="L317">
        <v>10</v>
      </c>
      <c r="M317">
        <v>376</v>
      </c>
      <c r="O317">
        <v>9.0999999999999998E-2</v>
      </c>
      <c r="Q317" s="5">
        <f t="shared" si="23"/>
        <v>1.4754429190296872</v>
      </c>
      <c r="R317" s="2">
        <f>(0.18/1.5*MIN((1+SQRT(200/E317)),2)*(MIN(J317,2)*(K317-8))^(1/3))</f>
        <v>0.57180282378542269</v>
      </c>
      <c r="S317" s="2">
        <f>E317/1.15*IF(F317="k",(G317+4*E317)*PI(),IF(F317="q",4*G317+4*E317*PI(),2*G317+2*H317+4*E317*PI()))</f>
        <v>61676.39481427407</v>
      </c>
      <c r="T317" s="2">
        <f t="shared" si="24"/>
        <v>3.5266736715706515E-2</v>
      </c>
      <c r="U317" s="4">
        <f t="shared" si="25"/>
        <v>2.580335139414017</v>
      </c>
      <c r="V317" s="4"/>
      <c r="W317" s="4"/>
      <c r="X317" s="3"/>
      <c r="Y317" s="3"/>
      <c r="AB317" s="3"/>
    </row>
    <row r="318" spans="1:28" x14ac:dyDescent="0.45">
      <c r="A318" t="s">
        <v>18</v>
      </c>
      <c r="B318" t="s">
        <v>17</v>
      </c>
      <c r="C318" s="1">
        <v>0.86399999999999999</v>
      </c>
      <c r="D318">
        <v>76</v>
      </c>
      <c r="E318">
        <v>64</v>
      </c>
      <c r="F318" t="s">
        <v>17</v>
      </c>
      <c r="G318">
        <v>102</v>
      </c>
      <c r="H318" t="s">
        <v>15</v>
      </c>
      <c r="I318">
        <f t="shared" si="22"/>
        <v>10404</v>
      </c>
      <c r="J318">
        <v>0.98</v>
      </c>
      <c r="K318">
        <v>20.6</v>
      </c>
      <c r="L318">
        <v>10</v>
      </c>
      <c r="M318">
        <v>376</v>
      </c>
      <c r="O318">
        <v>8.5999999999999993E-2</v>
      </c>
      <c r="Q318" s="5">
        <f t="shared" si="23"/>
        <v>1.274749768857574</v>
      </c>
      <c r="R318" s="2">
        <f>(0.18/1.5*MIN((1+SQRT(200/E318)),2)*(MIN(J318,2)*(K318-8))^(1/3))</f>
        <v>0.55472377781429727</v>
      </c>
      <c r="S318" s="2">
        <f>E318/1.15*IF(F318="k",(G318+4*E318)*PI(),IF(F318="q",4*G318+4*E318*PI(),2*G318+2*H318+4*E318*PI()))</f>
        <v>67464.220901230583</v>
      </c>
      <c r="T318" s="2">
        <f t="shared" si="24"/>
        <v>3.7424007485628907E-2</v>
      </c>
      <c r="U318" s="4">
        <f t="shared" si="25"/>
        <v>2.2979901346221303</v>
      </c>
      <c r="V318" s="4"/>
      <c r="W318" s="4"/>
      <c r="X318" s="3"/>
      <c r="Y318" s="3"/>
      <c r="AB318" s="3"/>
    </row>
    <row r="319" spans="1:28" x14ac:dyDescent="0.45">
      <c r="A319" t="s">
        <v>18</v>
      </c>
      <c r="B319" t="s">
        <v>17</v>
      </c>
      <c r="C319" s="1">
        <v>0.86399999999999999</v>
      </c>
      <c r="D319">
        <v>76</v>
      </c>
      <c r="E319">
        <v>64</v>
      </c>
      <c r="F319" t="s">
        <v>17</v>
      </c>
      <c r="G319">
        <v>127</v>
      </c>
      <c r="H319" t="s">
        <v>15</v>
      </c>
      <c r="I319">
        <f t="shared" si="22"/>
        <v>16129</v>
      </c>
      <c r="J319">
        <v>0.98</v>
      </c>
      <c r="K319">
        <v>19.600000000000001</v>
      </c>
      <c r="L319">
        <v>10</v>
      </c>
      <c r="M319">
        <v>376</v>
      </c>
      <c r="O319">
        <v>9.7000000000000003E-2</v>
      </c>
      <c r="Q319" s="5">
        <f t="shared" si="23"/>
        <v>1.3282314949684522</v>
      </c>
      <c r="R319" s="2">
        <f>(0.18/1.5*MIN((1+SQRT(200/E319)),2)*(MIN(J319,2)*(K319-8))^(1/3))</f>
        <v>0.53964223215512985</v>
      </c>
      <c r="S319" s="2">
        <f>E319/1.15*IF(F319="k",(G319+4*E319)*PI(),IF(F319="q",4*G319+4*E319*PI(),2*G319+2*H319+4*E319*PI()))</f>
        <v>73029.438292534935</v>
      </c>
      <c r="T319" s="2">
        <f t="shared" si="24"/>
        <v>3.9409769093218867E-2</v>
      </c>
      <c r="U319" s="4">
        <f t="shared" si="25"/>
        <v>2.4613186585934739</v>
      </c>
      <c r="V319" s="4"/>
      <c r="W319" s="4"/>
      <c r="X319" s="3"/>
      <c r="Y319" s="3"/>
      <c r="AB319" s="3"/>
    </row>
    <row r="320" spans="1:28" x14ac:dyDescent="0.45">
      <c r="A320" t="s">
        <v>18</v>
      </c>
      <c r="B320" t="s">
        <v>17</v>
      </c>
      <c r="C320" s="1">
        <v>0.86399999999999999</v>
      </c>
      <c r="D320">
        <v>76</v>
      </c>
      <c r="E320">
        <v>64</v>
      </c>
      <c r="F320" t="s">
        <v>17</v>
      </c>
      <c r="G320">
        <v>152</v>
      </c>
      <c r="H320" t="s">
        <v>15</v>
      </c>
      <c r="I320">
        <f t="shared" si="22"/>
        <v>23104</v>
      </c>
      <c r="J320">
        <v>0.98</v>
      </c>
      <c r="K320">
        <v>16.3</v>
      </c>
      <c r="L320">
        <v>10</v>
      </c>
      <c r="M320">
        <v>376</v>
      </c>
      <c r="O320">
        <v>9.7000000000000003E-2</v>
      </c>
      <c r="Q320" s="5">
        <f t="shared" si="23"/>
        <v>1.234180608796092</v>
      </c>
      <c r="R320" s="2">
        <f>(0.18/1.5*MIN((1+SQRT(200/E320)),2)*(MIN(J320,2)*(K320-8))^(1/3))</f>
        <v>0.48266517437277934</v>
      </c>
      <c r="S320" s="2">
        <f>E320/1.15*IF(F320="k",(G320+4*E320)*PI(),IF(F320="q",4*G320+4*E320*PI(),2*G320+2*H320+4*E320*PI()))</f>
        <v>78594.655683839286</v>
      </c>
      <c r="T320" s="2">
        <f t="shared" si="24"/>
        <v>3.793490319040884E-2</v>
      </c>
      <c r="U320" s="4">
        <f t="shared" si="25"/>
        <v>2.5570119294392906</v>
      </c>
      <c r="V320" s="4"/>
      <c r="W320" s="4"/>
      <c r="X320" s="3"/>
      <c r="Y320" s="3"/>
      <c r="AB320" s="3"/>
    </row>
    <row r="321" spans="1:28" x14ac:dyDescent="0.45">
      <c r="A321" t="s">
        <v>18</v>
      </c>
      <c r="B321" t="s">
        <v>17</v>
      </c>
      <c r="C321" s="1">
        <v>0.86399999999999999</v>
      </c>
      <c r="D321">
        <v>76</v>
      </c>
      <c r="E321">
        <v>64</v>
      </c>
      <c r="F321" t="s">
        <v>17</v>
      </c>
      <c r="G321">
        <v>51</v>
      </c>
      <c r="H321" t="s">
        <v>15</v>
      </c>
      <c r="I321">
        <f t="shared" si="22"/>
        <v>2601</v>
      </c>
      <c r="J321">
        <v>1.96</v>
      </c>
      <c r="K321">
        <v>20.3</v>
      </c>
      <c r="L321">
        <v>10</v>
      </c>
      <c r="M321">
        <v>376</v>
      </c>
      <c r="O321">
        <v>7.8E-2</v>
      </c>
      <c r="Q321" s="5">
        <f t="shared" si="23"/>
        <v>1.3900973670901771</v>
      </c>
      <c r="R321" s="2">
        <f>(0.18/1.5*MIN((1+SQRT(200/E321)),2)*(MIN(J321,2)*(K321-8))^(1/3))</f>
        <v>0.69331665969107148</v>
      </c>
      <c r="S321" s="2">
        <f>E321/1.15*IF(F321="k",(G321+4*E321)*PI(),IF(F321="q",4*G321+4*E321*PI(),2*G321+2*H321+4*E321*PI()))</f>
        <v>56111.177422969718</v>
      </c>
      <c r="T321" s="2">
        <f t="shared" si="24"/>
        <v>3.890281410222643E-2</v>
      </c>
      <c r="U321" s="4">
        <f t="shared" si="25"/>
        <v>2.0049963428104811</v>
      </c>
      <c r="V321" s="4"/>
      <c r="W321" s="4"/>
      <c r="X321" s="3"/>
      <c r="Y321" s="3"/>
      <c r="AB321" s="3"/>
    </row>
    <row r="322" spans="1:28" x14ac:dyDescent="0.45">
      <c r="A322" t="s">
        <v>18</v>
      </c>
      <c r="B322" t="s">
        <v>17</v>
      </c>
      <c r="C322" s="1">
        <v>0.86399999999999999</v>
      </c>
      <c r="D322">
        <v>76</v>
      </c>
      <c r="E322">
        <v>64</v>
      </c>
      <c r="F322" t="s">
        <v>17</v>
      </c>
      <c r="G322">
        <v>102</v>
      </c>
      <c r="H322" t="s">
        <v>15</v>
      </c>
      <c r="I322">
        <f t="shared" si="22"/>
        <v>10404</v>
      </c>
      <c r="J322">
        <v>1.96</v>
      </c>
      <c r="K322">
        <v>20.100000000000001</v>
      </c>
      <c r="L322">
        <v>10</v>
      </c>
      <c r="M322">
        <v>376</v>
      </c>
      <c r="O322">
        <v>0.115</v>
      </c>
      <c r="Q322" s="5">
        <f t="shared" si="23"/>
        <v>1.7046072490537327</v>
      </c>
      <c r="R322" s="2">
        <f>(0.18/1.5*MIN((1+SQRT(200/E322)),2)*(MIN(J322,2)*(K322-8))^(1/3))</f>
        <v>0.6895382922552391</v>
      </c>
      <c r="S322" s="2">
        <f>E322/1.15*IF(F322="k",(G322+4*E322)*PI(),IF(F322="q",4*G322+4*E322*PI(),2*G322+2*H322+4*E322*PI()))</f>
        <v>67464.220901230583</v>
      </c>
      <c r="T322" s="2">
        <f t="shared" si="24"/>
        <v>4.6519163668564747E-2</v>
      </c>
      <c r="U322" s="4">
        <f t="shared" si="25"/>
        <v>2.4720994732265806</v>
      </c>
      <c r="V322" s="4"/>
      <c r="W322" s="4"/>
      <c r="X322" s="3"/>
      <c r="Y322" s="3"/>
      <c r="AB322" s="3"/>
    </row>
    <row r="323" spans="1:28" x14ac:dyDescent="0.45">
      <c r="A323" t="s">
        <v>18</v>
      </c>
      <c r="B323" t="s">
        <v>17</v>
      </c>
      <c r="C323" s="1">
        <v>0.86399999999999999</v>
      </c>
      <c r="D323">
        <v>76</v>
      </c>
      <c r="E323">
        <v>64</v>
      </c>
      <c r="F323" t="s">
        <v>17</v>
      </c>
      <c r="G323">
        <v>152</v>
      </c>
      <c r="H323" t="s">
        <v>15</v>
      </c>
      <c r="I323">
        <f t="shared" ref="I323:I337" si="26">IF(F323="k",G323^2*PI()/4,IF(F323="q",G323^2,G323*H323))</f>
        <v>23104</v>
      </c>
      <c r="J323">
        <v>1.96</v>
      </c>
      <c r="K323">
        <v>19.2</v>
      </c>
      <c r="L323">
        <v>10</v>
      </c>
      <c r="M323">
        <v>376</v>
      </c>
      <c r="O323">
        <v>0.15</v>
      </c>
      <c r="Q323" s="5">
        <f t="shared" si="23"/>
        <v>1.9085267146331319</v>
      </c>
      <c r="R323" s="2">
        <f>(0.18/1.5*MIN((1+SQRT(200/E323)),2)*(MIN(J323,2)*(K323-8))^(1/3))</f>
        <v>0.67199999999999993</v>
      </c>
      <c r="S323" s="2">
        <f>E323/1.15*IF(F323="k",(G323+4*E323)*PI(),IF(F323="q",4*G323+4*E323*PI(),2*G323+2*H323+4*E323*PI()))</f>
        <v>78594.655683839286</v>
      </c>
      <c r="T323" s="2">
        <f t="shared" si="24"/>
        <v>5.2815608619539996E-2</v>
      </c>
      <c r="U323" s="4">
        <f t="shared" si="25"/>
        <v>2.8400695158231133</v>
      </c>
      <c r="V323" s="4"/>
      <c r="W323" s="4"/>
      <c r="X323" s="3"/>
      <c r="Y323" s="3"/>
      <c r="AB323" s="3"/>
    </row>
    <row r="324" spans="1:28" x14ac:dyDescent="0.45">
      <c r="A324" t="s">
        <v>14</v>
      </c>
      <c r="B324" t="s">
        <v>14</v>
      </c>
      <c r="C324" s="1">
        <v>1</v>
      </c>
      <c r="D324">
        <v>102</v>
      </c>
      <c r="E324">
        <v>80</v>
      </c>
      <c r="F324" t="s">
        <v>14</v>
      </c>
      <c r="G324">
        <v>229</v>
      </c>
      <c r="H324" t="s">
        <v>15</v>
      </c>
      <c r="I324">
        <f t="shared" si="26"/>
        <v>41187.065086725583</v>
      </c>
      <c r="J324">
        <v>1.34</v>
      </c>
      <c r="K324">
        <v>14.4</v>
      </c>
      <c r="L324" t="s">
        <v>15</v>
      </c>
      <c r="M324">
        <v>456</v>
      </c>
      <c r="O324">
        <v>0.18099999999999999</v>
      </c>
      <c r="Q324" s="5">
        <f t="shared" si="23"/>
        <v>1.5085656377312391</v>
      </c>
      <c r="R324" s="2">
        <f>(0.18/1.5*MIN((1+SQRT(200/E324)),2)*(MIN(J324,2)*(K324-8))^(1/3))</f>
        <v>0.49125407490355666</v>
      </c>
      <c r="S324" s="2">
        <f>E324/1.15*IF(F324="k",(G324+4*E324)*PI(),IF(F324="q",4*G324+4*E324*PI(),2*G324+2*H324+4*E324*PI()))</f>
        <v>119981.52117014237</v>
      </c>
      <c r="T324" s="2">
        <f t="shared" si="24"/>
        <v>5.8941411187959793E-2</v>
      </c>
      <c r="U324" s="4">
        <f t="shared" si="25"/>
        <v>3.0708460546152248</v>
      </c>
      <c r="V324" s="4"/>
      <c r="W324" s="4"/>
      <c r="X324" s="3"/>
      <c r="Y324" s="3"/>
      <c r="AB324" s="3"/>
    </row>
    <row r="325" spans="1:28" x14ac:dyDescent="0.45">
      <c r="A325" t="s">
        <v>14</v>
      </c>
      <c r="B325" t="s">
        <v>14</v>
      </c>
      <c r="C325" s="1">
        <v>1.5</v>
      </c>
      <c r="D325">
        <v>102</v>
      </c>
      <c r="E325">
        <v>80</v>
      </c>
      <c r="F325" t="s">
        <v>14</v>
      </c>
      <c r="G325">
        <v>229</v>
      </c>
      <c r="H325" t="s">
        <v>15</v>
      </c>
      <c r="I325">
        <f t="shared" si="26"/>
        <v>41187.065086725583</v>
      </c>
      <c r="J325">
        <v>1.32</v>
      </c>
      <c r="K325">
        <v>13.4</v>
      </c>
      <c r="L325" t="s">
        <v>15</v>
      </c>
      <c r="M325">
        <v>372</v>
      </c>
      <c r="O325">
        <v>0.152</v>
      </c>
      <c r="Q325" s="5">
        <f t="shared" si="23"/>
        <v>1.2668617510229192</v>
      </c>
      <c r="R325" s="2">
        <f>(0.18/1.5*MIN((1+SQRT(200/E325)),2)*(MIN(J325,2)*(K325-8))^(1/3))</f>
        <v>0.46188494351939896</v>
      </c>
      <c r="S325" s="2">
        <f>E325/1.15*IF(F325="k",(G325+4*E325)*PI(),IF(F325="q",4*G325+4*E325*PI(),2*G325+2*H325+4*E325*PI()))</f>
        <v>119981.52117014237</v>
      </c>
      <c r="T325" s="2">
        <f t="shared" si="24"/>
        <v>5.5417658129042778E-2</v>
      </c>
      <c r="U325" s="4">
        <f t="shared" si="25"/>
        <v>2.7428080711397156</v>
      </c>
      <c r="V325" s="4"/>
      <c r="W325" s="4"/>
      <c r="X325" s="3"/>
      <c r="Y325" s="3"/>
      <c r="AB325" s="3"/>
    </row>
    <row r="326" spans="1:28" x14ac:dyDescent="0.45">
      <c r="A326" t="s">
        <v>14</v>
      </c>
      <c r="B326" t="s">
        <v>14</v>
      </c>
      <c r="C326" s="1">
        <v>1.5</v>
      </c>
      <c r="D326">
        <v>102</v>
      </c>
      <c r="E326">
        <v>80</v>
      </c>
      <c r="F326" t="s">
        <v>20</v>
      </c>
      <c r="G326">
        <v>229</v>
      </c>
      <c r="H326">
        <v>432</v>
      </c>
      <c r="I326">
        <f t="shared" si="26"/>
        <v>98928</v>
      </c>
      <c r="J326">
        <v>1.32</v>
      </c>
      <c r="K326">
        <v>14.9</v>
      </c>
      <c r="L326" t="s">
        <v>15</v>
      </c>
      <c r="M326">
        <v>490</v>
      </c>
      <c r="O326">
        <v>0.245</v>
      </c>
      <c r="Q326" s="5">
        <f t="shared" si="23"/>
        <v>1.5132816560478768</v>
      </c>
      <c r="R326" s="2">
        <f>(0.18/1.5*MIN((1+SQRT(200/E326)),2)*(MIN(J326,2)*(K326-8))^(1/3))</f>
        <v>0.50120906330856518</v>
      </c>
      <c r="S326" s="2">
        <f>E326/1.15*IF(F326="k",(G326+4*E326)*PI(),IF(F326="q",4*G326+4*E326*PI(),2*G326+2*H326+4*E326*PI()))</f>
        <v>161899.80167991197</v>
      </c>
      <c r="T326" s="2">
        <f t="shared" si="24"/>
        <v>8.1145647949831132E-2</v>
      </c>
      <c r="U326" s="4">
        <f t="shared" si="25"/>
        <v>3.0192623534348138</v>
      </c>
      <c r="V326" s="4"/>
      <c r="W326" s="4"/>
      <c r="X326" s="3"/>
      <c r="Y326" s="3"/>
      <c r="AB326" s="3"/>
    </row>
    <row r="327" spans="1:28" x14ac:dyDescent="0.45">
      <c r="A327" t="s">
        <v>14</v>
      </c>
      <c r="B327" t="s">
        <v>14</v>
      </c>
      <c r="C327" s="1">
        <v>1</v>
      </c>
      <c r="D327">
        <v>102</v>
      </c>
      <c r="E327">
        <v>80</v>
      </c>
      <c r="F327" t="s">
        <v>14</v>
      </c>
      <c r="G327">
        <v>229</v>
      </c>
      <c r="H327" t="s">
        <v>15</v>
      </c>
      <c r="I327">
        <f t="shared" si="26"/>
        <v>41187.065086725583</v>
      </c>
      <c r="J327">
        <v>0.98</v>
      </c>
      <c r="K327">
        <v>23.5</v>
      </c>
      <c r="L327" t="s">
        <v>15</v>
      </c>
      <c r="M327">
        <v>490</v>
      </c>
      <c r="O327">
        <v>0.245</v>
      </c>
      <c r="Q327" s="5">
        <f t="shared" si="23"/>
        <v>2.0419811118461522</v>
      </c>
      <c r="R327" s="2">
        <f>(0.18/1.5*MIN((1+SQRT(200/E327)),2)*(MIN(J327,2)*(K327-8))^(1/3))</f>
        <v>0.59437951463895633</v>
      </c>
      <c r="S327" s="2">
        <f>E327/1.15*IF(F327="k",(G327+4*E327)*PI(),IF(F327="q",4*G327+4*E327*PI(),2*G327+2*H327+4*E327*PI()))</f>
        <v>119981.52117014237</v>
      </c>
      <c r="T327" s="2">
        <f t="shared" si="24"/>
        <v>7.1314558318752885E-2</v>
      </c>
      <c r="U327" s="4">
        <f t="shared" si="25"/>
        <v>3.4354836624652383</v>
      </c>
      <c r="V327" s="4"/>
      <c r="W327" s="4"/>
      <c r="X327" s="3"/>
      <c r="Y327" s="3"/>
      <c r="AB327" s="3"/>
    </row>
    <row r="328" spans="1:28" x14ac:dyDescent="0.45">
      <c r="A328" t="s">
        <v>18</v>
      </c>
      <c r="B328" t="s">
        <v>17</v>
      </c>
      <c r="C328" s="1">
        <v>1.1499999999999999</v>
      </c>
      <c r="D328">
        <v>117</v>
      </c>
      <c r="E328">
        <v>101</v>
      </c>
      <c r="F328" t="s">
        <v>14</v>
      </c>
      <c r="G328">
        <v>140</v>
      </c>
      <c r="H328" t="s">
        <v>15</v>
      </c>
      <c r="I328">
        <f t="shared" si="26"/>
        <v>15393.804002589986</v>
      </c>
      <c r="J328">
        <v>0.7</v>
      </c>
      <c r="K328">
        <v>12.2</v>
      </c>
      <c r="L328" t="s">
        <v>15</v>
      </c>
      <c r="M328">
        <v>350</v>
      </c>
      <c r="O328">
        <v>0.184</v>
      </c>
      <c r="Q328" s="5">
        <f t="shared" si="23"/>
        <v>1.2258731056437482</v>
      </c>
      <c r="R328" s="2">
        <f>(0.18/1.5*MIN((1+SQRT(200/E328)),2)*(MIN(J328,2)*(K328-8))^(1/3))</f>
        <v>0.34381674031952114</v>
      </c>
      <c r="S328" s="2">
        <f>E328/1.15*IF(F328="k",(G328+4*E328)*PI(),IF(F328="q",4*G328+4*E328*PI(),2*G328+2*H328+4*E328*PI()))</f>
        <v>150097.10152942402</v>
      </c>
      <c r="T328" s="2">
        <f t="shared" si="24"/>
        <v>5.1605896179254776E-2</v>
      </c>
      <c r="U328" s="4">
        <f t="shared" si="25"/>
        <v>3.5654840555596583</v>
      </c>
      <c r="V328" s="4"/>
      <c r="W328" s="4"/>
      <c r="X328" s="3"/>
      <c r="Y328" s="3"/>
      <c r="AB328" s="3"/>
    </row>
    <row r="329" spans="1:28" x14ac:dyDescent="0.45">
      <c r="A329" t="s">
        <v>18</v>
      </c>
      <c r="B329" t="s">
        <v>17</v>
      </c>
      <c r="C329" s="1">
        <v>1.1499999999999999</v>
      </c>
      <c r="D329">
        <v>127</v>
      </c>
      <c r="E329">
        <v>111</v>
      </c>
      <c r="F329" t="s">
        <v>14</v>
      </c>
      <c r="G329">
        <v>140</v>
      </c>
      <c r="H329" t="s">
        <v>15</v>
      </c>
      <c r="I329">
        <f t="shared" si="26"/>
        <v>15393.804002589986</v>
      </c>
      <c r="J329">
        <v>0.64</v>
      </c>
      <c r="K329">
        <v>12.2</v>
      </c>
      <c r="L329" t="s">
        <v>15</v>
      </c>
      <c r="M329">
        <v>350</v>
      </c>
      <c r="O329">
        <v>0.17699999999999999</v>
      </c>
      <c r="Q329" s="5">
        <f t="shared" si="23"/>
        <v>0.99950600599639938</v>
      </c>
      <c r="R329" s="2">
        <f>(0.18/1.5*MIN((1+SQRT(200/E329)),2)*(MIN(J329,2)*(K329-8))^(1/3))</f>
        <v>0.33369855790909914</v>
      </c>
      <c r="S329" s="2">
        <f>E329/1.15*IF(F329="k",(G329+4*E329)*PI(),IF(F329="q",4*G329+4*E329*PI(),2*G329+2*H329+4*E329*PI()))</f>
        <v>177087.48015330848</v>
      </c>
      <c r="T329" s="2">
        <f t="shared" si="24"/>
        <v>5.909383675091525E-2</v>
      </c>
      <c r="U329" s="4">
        <f t="shared" si="25"/>
        <v>2.9952362163598827</v>
      </c>
      <c r="V329" s="4"/>
      <c r="W329" s="4"/>
      <c r="X329" s="3"/>
      <c r="Y329" s="3"/>
      <c r="AB329" s="3"/>
    </row>
    <row r="330" spans="1:28" x14ac:dyDescent="0.45">
      <c r="A330" t="s">
        <v>18</v>
      </c>
      <c r="B330" t="s">
        <v>17</v>
      </c>
      <c r="C330" s="1">
        <v>1.1499999999999999</v>
      </c>
      <c r="D330">
        <v>122</v>
      </c>
      <c r="E330">
        <v>106</v>
      </c>
      <c r="F330" t="s">
        <v>14</v>
      </c>
      <c r="G330">
        <v>140</v>
      </c>
      <c r="H330" t="s">
        <v>15</v>
      </c>
      <c r="I330">
        <f t="shared" si="26"/>
        <v>15393.804002589986</v>
      </c>
      <c r="J330">
        <v>0.67</v>
      </c>
      <c r="K330">
        <v>12.2</v>
      </c>
      <c r="L330" t="s">
        <v>15</v>
      </c>
      <c r="M330">
        <v>350</v>
      </c>
      <c r="O330">
        <v>0.17199999999999999</v>
      </c>
      <c r="Q330" s="5">
        <f t="shared" si="23"/>
        <v>1.0531529420439214</v>
      </c>
      <c r="R330" s="2">
        <f>(0.18/1.5*MIN((1+SQRT(200/E330)),2)*(MIN(J330,2)*(K330-8))^(1/3))</f>
        <v>0.33883318599929108</v>
      </c>
      <c r="S330" s="2">
        <f>E330/1.15*IF(F330="k",(G330+4*E330)*PI(),IF(F330="q",4*G330+4*E330*PI(),2*G330+2*H330+4*E330*PI()))</f>
        <v>163319.10887148886</v>
      </c>
      <c r="T330" s="2">
        <f t="shared" si="24"/>
        <v>5.5337933993491656E-2</v>
      </c>
      <c r="U330" s="4">
        <f t="shared" si="25"/>
        <v>3.1081753073800886</v>
      </c>
      <c r="V330" s="4"/>
      <c r="W330" s="4"/>
      <c r="X330" s="3"/>
      <c r="Y330" s="3"/>
      <c r="AB330" s="3"/>
    </row>
    <row r="331" spans="1:28" x14ac:dyDescent="0.45">
      <c r="A331" t="s">
        <v>18</v>
      </c>
      <c r="B331" t="s">
        <v>17</v>
      </c>
      <c r="C331" s="1">
        <v>1.1499999999999999</v>
      </c>
      <c r="D331">
        <v>126</v>
      </c>
      <c r="E331">
        <v>110</v>
      </c>
      <c r="F331" t="s">
        <v>14</v>
      </c>
      <c r="G331">
        <v>140</v>
      </c>
      <c r="H331" t="s">
        <v>15</v>
      </c>
      <c r="I331">
        <f t="shared" si="26"/>
        <v>15393.804002589986</v>
      </c>
      <c r="J331">
        <v>0.64</v>
      </c>
      <c r="K331">
        <v>12.2</v>
      </c>
      <c r="L331" t="s">
        <v>15</v>
      </c>
      <c r="M331">
        <v>350</v>
      </c>
      <c r="O331">
        <v>0.17699999999999999</v>
      </c>
      <c r="Q331" s="5">
        <f t="shared" si="23"/>
        <v>1.0155482340550248</v>
      </c>
      <c r="R331" s="2">
        <f>(0.18/1.5*MIN((1+SQRT(200/E331)),2)*(MIN(J331,2)*(K331-8))^(1/3))</f>
        <v>0.33369855790909914</v>
      </c>
      <c r="S331" s="2">
        <f>E331/1.15*IF(F331="k",(G331+4*E331)*PI(),IF(F331="q",4*G331+4*E331*PI(),2*G331+2*H331+4*E331*PI()))</f>
        <v>174290.09678176418</v>
      </c>
      <c r="T331" s="2">
        <f t="shared" si="24"/>
        <v>5.8160353953912024E-2</v>
      </c>
      <c r="U331" s="4">
        <f t="shared" si="25"/>
        <v>3.0433102271052204</v>
      </c>
      <c r="V331" s="4"/>
      <c r="W331" s="4"/>
      <c r="X331" s="3"/>
      <c r="Y331" s="3"/>
      <c r="AB331" s="3"/>
    </row>
    <row r="332" spans="1:28" x14ac:dyDescent="0.45">
      <c r="A332" t="s">
        <v>18</v>
      </c>
      <c r="B332" t="s">
        <v>17</v>
      </c>
      <c r="C332" s="1">
        <v>1.1499999999999999</v>
      </c>
      <c r="D332">
        <v>127</v>
      </c>
      <c r="E332">
        <v>111</v>
      </c>
      <c r="F332" t="s">
        <v>14</v>
      </c>
      <c r="G332">
        <v>140</v>
      </c>
      <c r="H332" t="s">
        <v>15</v>
      </c>
      <c r="I332">
        <f t="shared" si="26"/>
        <v>15393.804002589986</v>
      </c>
      <c r="J332">
        <v>0.64</v>
      </c>
      <c r="K332">
        <v>12.2</v>
      </c>
      <c r="L332" t="s">
        <v>15</v>
      </c>
      <c r="M332">
        <v>350</v>
      </c>
      <c r="O332">
        <v>0.19800000000000001</v>
      </c>
      <c r="Q332" s="5">
        <f t="shared" si="23"/>
        <v>1.1180914643349553</v>
      </c>
      <c r="R332" s="2">
        <f>(0.18/1.5*MIN((1+SQRT(200/E332)),2)*(MIN(J332,2)*(K332-8))^(1/3))</f>
        <v>0.33369855790909914</v>
      </c>
      <c r="S332" s="2">
        <f>E332/1.15*IF(F332="k",(G332+4*E332)*PI(),IF(F332="q",4*G332+4*E332*PI(),2*G332+2*H332+4*E332*PI()))</f>
        <v>177087.48015330848</v>
      </c>
      <c r="T332" s="2">
        <f t="shared" si="24"/>
        <v>5.909383675091525E-2</v>
      </c>
      <c r="U332" s="4">
        <f t="shared" si="25"/>
        <v>3.3506032250805475</v>
      </c>
      <c r="V332" s="4"/>
      <c r="W332" s="4"/>
      <c r="X332" s="3"/>
      <c r="Y332" s="3"/>
      <c r="AB332" s="3"/>
    </row>
    <row r="333" spans="1:28" x14ac:dyDescent="0.45">
      <c r="A333" t="s">
        <v>18</v>
      </c>
      <c r="B333" t="s">
        <v>17</v>
      </c>
      <c r="C333" s="1">
        <v>1.1499999999999999</v>
      </c>
      <c r="D333">
        <v>123</v>
      </c>
      <c r="E333">
        <v>107</v>
      </c>
      <c r="F333" t="s">
        <v>14</v>
      </c>
      <c r="G333">
        <v>140</v>
      </c>
      <c r="H333" t="s">
        <v>15</v>
      </c>
      <c r="I333">
        <f t="shared" si="26"/>
        <v>15393.804002589986</v>
      </c>
      <c r="J333">
        <v>0.66</v>
      </c>
      <c r="K333">
        <v>12.2</v>
      </c>
      <c r="L333" t="s">
        <v>15</v>
      </c>
      <c r="M333">
        <v>350</v>
      </c>
      <c r="O333">
        <v>0.184</v>
      </c>
      <c r="Q333" s="5">
        <f t="shared" si="23"/>
        <v>1.1082396326920181</v>
      </c>
      <c r="R333" s="2">
        <f>(0.18/1.5*MIN((1+SQRT(200/E333)),2)*(MIN(J333,2)*(K333-8))^(1/3))</f>
        <v>0.33713899176154072</v>
      </c>
      <c r="S333" s="2">
        <f>E333/1.15*IF(F333="k",(G333+4*E333)*PI(),IF(F333="q",4*G333+4*E333*PI(),2*G333+2*H333+4*E333*PI()))</f>
        <v>166029.07401267244</v>
      </c>
      <c r="T333" s="2">
        <f t="shared" si="24"/>
        <v>5.597487461573461E-2</v>
      </c>
      <c r="U333" s="4">
        <f t="shared" si="25"/>
        <v>3.2871891408985374</v>
      </c>
      <c r="V333" s="4"/>
      <c r="W333" s="4"/>
      <c r="X333" s="3"/>
      <c r="Y333" s="3"/>
      <c r="AB333" s="3"/>
    </row>
    <row r="334" spans="1:28" x14ac:dyDescent="0.45">
      <c r="A334" t="s">
        <v>18</v>
      </c>
      <c r="B334" t="s">
        <v>17</v>
      </c>
      <c r="C334" s="1">
        <v>1.1499999999999999</v>
      </c>
      <c r="D334">
        <v>122</v>
      </c>
      <c r="E334">
        <v>106</v>
      </c>
      <c r="F334" t="s">
        <v>14</v>
      </c>
      <c r="G334">
        <v>140</v>
      </c>
      <c r="H334" t="s">
        <v>15</v>
      </c>
      <c r="I334">
        <f t="shared" si="26"/>
        <v>15393.804002589986</v>
      </c>
      <c r="J334">
        <v>0.67</v>
      </c>
      <c r="K334">
        <v>12.2</v>
      </c>
      <c r="L334" t="s">
        <v>15</v>
      </c>
      <c r="M334">
        <v>350</v>
      </c>
      <c r="O334">
        <v>0.187</v>
      </c>
      <c r="Q334" s="5">
        <f t="shared" si="23"/>
        <v>1.1449976753617053</v>
      </c>
      <c r="R334" s="2">
        <f>(0.18/1.5*MIN((1+SQRT(200/E334)),2)*(MIN(J334,2)*(K334-8))^(1/3))</f>
        <v>0.33883318599929108</v>
      </c>
      <c r="S334" s="2">
        <f>E334/1.15*IF(F334="k",(G334+4*E334)*PI(),IF(F334="q",4*G334+4*E334*PI(),2*G334+2*H334+4*E334*PI()))</f>
        <v>163319.10887148886</v>
      </c>
      <c r="T334" s="2">
        <f t="shared" si="24"/>
        <v>5.5337933993491656E-2</v>
      </c>
      <c r="U334" s="4">
        <f t="shared" si="25"/>
        <v>3.379237107442306</v>
      </c>
      <c r="V334" s="4"/>
      <c r="W334" s="4"/>
      <c r="X334" s="3"/>
      <c r="Y334" s="3"/>
      <c r="AB334" s="3"/>
    </row>
    <row r="335" spans="1:28" x14ac:dyDescent="0.45">
      <c r="A335" t="s">
        <v>18</v>
      </c>
      <c r="B335" t="s">
        <v>17</v>
      </c>
      <c r="C335" s="1">
        <v>1.5</v>
      </c>
      <c r="D335">
        <v>302</v>
      </c>
      <c r="E335">
        <v>271</v>
      </c>
      <c r="F335" t="s">
        <v>17</v>
      </c>
      <c r="G335">
        <v>300</v>
      </c>
      <c r="H335" t="s">
        <v>15</v>
      </c>
      <c r="I335">
        <f t="shared" si="26"/>
        <v>90000</v>
      </c>
      <c r="J335">
        <v>1.06</v>
      </c>
      <c r="K335">
        <v>13.6</v>
      </c>
      <c r="L335">
        <v>30</v>
      </c>
      <c r="M335">
        <v>270</v>
      </c>
      <c r="N335">
        <v>200</v>
      </c>
      <c r="O335">
        <v>1.1579999999999999</v>
      </c>
      <c r="Q335" s="5">
        <f t="shared" si="23"/>
        <v>1.0669930761896071</v>
      </c>
      <c r="R335" s="2">
        <f>(0.18/1.5*MIN((1+SQRT(200/E335)),2)*(MIN(J335,2)*(K335-8))^(1/3))</f>
        <v>0.40393279774561353</v>
      </c>
      <c r="S335" s="2">
        <f>E335/1.15*IF(F335="k",(G335+4*E335)*PI(),IF(F335="q",4*G335+4*E335*PI(),2*G335+2*H335+4*E335*PI()))</f>
        <v>1085292.8906862191</v>
      </c>
      <c r="T335" s="2">
        <f t="shared" si="24"/>
        <v>0.43838539370830881</v>
      </c>
      <c r="U335" s="4">
        <f t="shared" si="25"/>
        <v>2.641511365614762</v>
      </c>
      <c r="V335" s="4"/>
      <c r="W335" s="4"/>
      <c r="X335" s="3"/>
      <c r="Y335" s="3"/>
      <c r="AB335" s="3"/>
    </row>
    <row r="336" spans="1:28" x14ac:dyDescent="0.45">
      <c r="A336" t="s">
        <v>18</v>
      </c>
      <c r="B336" t="s">
        <v>17</v>
      </c>
      <c r="C336" s="1">
        <v>1.5</v>
      </c>
      <c r="D336">
        <v>504</v>
      </c>
      <c r="E336">
        <v>473</v>
      </c>
      <c r="F336" t="s">
        <v>17</v>
      </c>
      <c r="G336">
        <v>300</v>
      </c>
      <c r="H336" t="s">
        <v>15</v>
      </c>
      <c r="I336">
        <f t="shared" si="26"/>
        <v>90000</v>
      </c>
      <c r="J336">
        <v>0.6</v>
      </c>
      <c r="K336">
        <v>15.5</v>
      </c>
      <c r="L336">
        <v>30</v>
      </c>
      <c r="M336">
        <v>270</v>
      </c>
      <c r="N336">
        <v>210</v>
      </c>
      <c r="O336">
        <v>1.6479999999999999</v>
      </c>
      <c r="Q336" s="5">
        <f t="shared" si="23"/>
        <v>0.56086578551832367</v>
      </c>
      <c r="R336" s="2">
        <f>(0.18/1.5*MIN((1+SQRT(200/E336)),2)*(MIN(J336,2)*(K336-8))^(1/3))</f>
        <v>0.32694153282832134</v>
      </c>
      <c r="S336" s="2">
        <f>E336/1.15*IF(F336="k",(G336+4*E336)*PI(),IF(F336="q",4*G336+4*E336*PI(),2*G336+2*H336+4*E336*PI()))</f>
        <v>2938314.374939099</v>
      </c>
      <c r="T336" s="2">
        <f t="shared" si="24"/>
        <v>0.96065700567407986</v>
      </c>
      <c r="U336" s="4">
        <f t="shared" si="25"/>
        <v>1.7154926162679893</v>
      </c>
      <c r="V336" s="4"/>
      <c r="W336" s="4"/>
      <c r="X336" s="3"/>
      <c r="Y336" s="3"/>
      <c r="AB336" s="3"/>
    </row>
    <row r="337" spans="1:28" x14ac:dyDescent="0.45">
      <c r="A337" t="s">
        <v>18</v>
      </c>
      <c r="B337" t="s">
        <v>14</v>
      </c>
      <c r="C337" s="1">
        <v>3</v>
      </c>
      <c r="D337">
        <v>250</v>
      </c>
      <c r="E337">
        <v>210</v>
      </c>
      <c r="F337" t="s">
        <v>17</v>
      </c>
      <c r="G337">
        <v>260</v>
      </c>
      <c r="H337" t="s">
        <v>15</v>
      </c>
      <c r="I337">
        <f t="shared" si="26"/>
        <v>67600</v>
      </c>
      <c r="J337">
        <v>0.75</v>
      </c>
      <c r="K337">
        <v>31.5</v>
      </c>
      <c r="L337">
        <v>16</v>
      </c>
      <c r="M337">
        <v>570</v>
      </c>
      <c r="O337">
        <v>0.76300000000000001</v>
      </c>
      <c r="Q337" s="5">
        <f t="shared" si="23"/>
        <v>1.1357444804799968</v>
      </c>
      <c r="R337" s="2">
        <f>(0.18/1.5*MIN((1+SQRT(200/E337)),2)*(MIN(J337,2)*(K337-8))^(1/3))</f>
        <v>0.61705318529790965</v>
      </c>
      <c r="S337" s="2">
        <f>E337/1.15*IF(F337="k",(G337+4*E337)*PI(),IF(F337="q",4*G337+4*E337*PI(),2*G337+2*H337+4*E337*PI()))</f>
        <v>671806.03834194748</v>
      </c>
      <c r="T337" s="2">
        <f t="shared" si="24"/>
        <v>0.4145400558612683</v>
      </c>
      <c r="U337" s="4">
        <f t="shared" si="25"/>
        <v>1.8405941457569273</v>
      </c>
      <c r="V337" s="4"/>
      <c r="W337" s="4"/>
      <c r="X337" s="3"/>
      <c r="Y337" s="3"/>
      <c r="AB337" s="3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 Kenel</dc:creator>
  <cp:lastModifiedBy>Luca</cp:lastModifiedBy>
  <dcterms:created xsi:type="dcterms:W3CDTF">2021-10-19T17:09:08Z</dcterms:created>
  <dcterms:modified xsi:type="dcterms:W3CDTF">2021-11-25T08:19:30Z</dcterms:modified>
</cp:coreProperties>
</file>